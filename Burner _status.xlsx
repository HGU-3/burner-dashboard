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codeName="ThisWorkbook" defaultThemeVersion="124226"/>
  <xr:revisionPtr revIDLastSave="0" documentId="13_ncr:1_{BAB441F9-9939-4064-AAED-693808B6DA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URNER STATUS" sheetId="2" r:id="rId1"/>
    <sheet name="Sheet1" sheetId="3" state="hidden" r:id="rId2"/>
  </sheets>
  <externalReferences>
    <externalReference r:id="rId3"/>
    <externalReference r:id="rId4"/>
  </externalReferences>
  <definedNames>
    <definedName name="_xlnm.Print_Area" localSheetId="0">'BURNER STATUS'!$B$4:$Y$37</definedName>
    <definedName name="UNI_AA_VERSION" hidden="1">"320.2.3"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MSTIME" hidden="1">8192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TAG" hidden="1">1</definedName>
    <definedName name="UNI_RET_TIME" hidden="1">8</definedName>
    <definedName name="UNI_RET_UNIT" hidden="1">2</definedName>
    <definedName name="UNI_RET_VALUE" hidden="1">16</definedName>
    <definedName name="UNIFORMANCES2R12C1" hidden="1">[1]Sheet2!$A$12:$C$38</definedName>
    <definedName name="UNIFORMANCES3R2C1" hidden="1">[2]Sheet6!$A$2:$K$7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5" i="2" l="1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C48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C34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C20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C7" i="3"/>
  <c r="C8" i="3"/>
  <c r="C9" i="3"/>
  <c r="C10" i="3"/>
  <c r="C11" i="3"/>
  <c r="C12" i="3"/>
  <c r="C13" i="3"/>
  <c r="C14" i="3"/>
  <c r="C15" i="3"/>
  <c r="C16" i="3"/>
  <c r="C17" i="3"/>
  <c r="C6" i="3"/>
  <c r="S56" i="3" l="1"/>
  <c r="S22" i="3"/>
  <c r="S42" i="3"/>
  <c r="S38" i="3"/>
  <c r="R48" i="3"/>
  <c r="R28" i="3"/>
  <c r="R52" i="3"/>
  <c r="S6" i="3"/>
  <c r="S44" i="3"/>
  <c r="S40" i="3"/>
  <c r="S50" i="3"/>
  <c r="R58" i="3"/>
  <c r="S52" i="3"/>
  <c r="R38" i="3"/>
  <c r="S36" i="3"/>
  <c r="S26" i="3"/>
  <c r="R26" i="3"/>
  <c r="R24" i="3"/>
  <c r="R16" i="3"/>
  <c r="R6" i="3"/>
  <c r="S30" i="3"/>
  <c r="S24" i="3"/>
  <c r="R50" i="3"/>
  <c r="R14" i="3"/>
  <c r="S14" i="3"/>
  <c r="S10" i="3"/>
  <c r="R22" i="3"/>
  <c r="S20" i="3"/>
  <c r="R44" i="3"/>
  <c r="R36" i="3"/>
  <c r="R54" i="3"/>
  <c r="R8" i="3"/>
  <c r="S34" i="3"/>
  <c r="S28" i="3"/>
  <c r="S58" i="3"/>
  <c r="R56" i="3"/>
  <c r="S54" i="3"/>
  <c r="S16" i="3"/>
  <c r="S8" i="3"/>
  <c r="R40" i="3"/>
  <c r="S48" i="3"/>
  <c r="R42" i="3"/>
  <c r="R34" i="3"/>
  <c r="R30" i="3"/>
  <c r="R20" i="3"/>
  <c r="S12" i="3"/>
  <c r="R10" i="3"/>
  <c r="R12" i="3"/>
  <c r="S15" i="2"/>
  <c r="T56" i="3" l="1"/>
  <c r="T28" i="3"/>
  <c r="T36" i="3"/>
  <c r="T50" i="3"/>
  <c r="T38" i="3"/>
  <c r="T40" i="3"/>
  <c r="T44" i="3"/>
  <c r="T52" i="3"/>
  <c r="T6" i="3"/>
  <c r="T58" i="3"/>
  <c r="T54" i="3"/>
  <c r="S60" i="3"/>
  <c r="R60" i="3"/>
  <c r="S46" i="3"/>
  <c r="X16" i="3"/>
  <c r="X44" i="3" s="1"/>
  <c r="X14" i="3"/>
  <c r="X42" i="3" s="1"/>
  <c r="T26" i="3"/>
  <c r="W12" i="3"/>
  <c r="W40" i="3" s="1"/>
  <c r="X12" i="3"/>
  <c r="X40" i="3" s="1"/>
  <c r="T24" i="3"/>
  <c r="W10" i="3"/>
  <c r="W38" i="3" s="1"/>
  <c r="S32" i="3"/>
  <c r="X10" i="3"/>
  <c r="X38" i="3" s="1"/>
  <c r="W16" i="3"/>
  <c r="W44" i="3" s="1"/>
  <c r="T16" i="3"/>
  <c r="T14" i="3"/>
  <c r="W14" i="3"/>
  <c r="W42" i="3" s="1"/>
  <c r="T8" i="3"/>
  <c r="X8" i="3"/>
  <c r="X36" i="3" s="1"/>
  <c r="W8" i="3"/>
  <c r="W36" i="3" s="1"/>
  <c r="T22" i="3"/>
  <c r="T48" i="3"/>
  <c r="X6" i="3"/>
  <c r="X34" i="3" s="1"/>
  <c r="T42" i="3"/>
  <c r="R46" i="3"/>
  <c r="T34" i="3"/>
  <c r="T30" i="3"/>
  <c r="R32" i="3"/>
  <c r="W6" i="3"/>
  <c r="W34" i="3" s="1"/>
  <c r="T20" i="3"/>
  <c r="S18" i="3"/>
  <c r="T12" i="3"/>
  <c r="R18" i="3"/>
  <c r="T10" i="3"/>
  <c r="S7" i="2"/>
  <c r="S8" i="2"/>
  <c r="S9" i="2"/>
  <c r="S10" i="2"/>
  <c r="S11" i="2"/>
  <c r="S14" i="2"/>
  <c r="S16" i="2"/>
  <c r="S17" i="2"/>
  <c r="S18" i="2"/>
  <c r="S19" i="2"/>
  <c r="S22" i="2"/>
  <c r="S23" i="2"/>
  <c r="S24" i="2"/>
  <c r="S25" i="2"/>
  <c r="S26" i="2"/>
  <c r="S27" i="2"/>
  <c r="S30" i="2"/>
  <c r="S31" i="2"/>
  <c r="S32" i="2"/>
  <c r="S33" i="2"/>
  <c r="S34" i="2"/>
  <c r="S6" i="2"/>
  <c r="R7" i="2"/>
  <c r="R8" i="2"/>
  <c r="R9" i="2"/>
  <c r="R10" i="2"/>
  <c r="R11" i="2"/>
  <c r="R14" i="2"/>
  <c r="R15" i="2"/>
  <c r="R16" i="2"/>
  <c r="R17" i="2"/>
  <c r="R18" i="2"/>
  <c r="R19" i="2"/>
  <c r="R22" i="2"/>
  <c r="R23" i="2"/>
  <c r="R24" i="2"/>
  <c r="R25" i="2"/>
  <c r="R26" i="2"/>
  <c r="R27" i="2"/>
  <c r="R30" i="2"/>
  <c r="R31" i="2"/>
  <c r="R32" i="2"/>
  <c r="R33" i="2"/>
  <c r="R34" i="2"/>
  <c r="R35" i="2"/>
  <c r="R6" i="2"/>
  <c r="U42" i="3" l="1"/>
  <c r="U36" i="3"/>
  <c r="U14" i="3"/>
  <c r="U6" i="3"/>
  <c r="U44" i="3"/>
  <c r="U38" i="3"/>
  <c r="U40" i="3"/>
  <c r="U12" i="3"/>
  <c r="U10" i="3"/>
  <c r="U16" i="3"/>
  <c r="U8" i="3"/>
  <c r="U34" i="3"/>
  <c r="S37" i="2"/>
  <c r="R37" i="2"/>
  <c r="S20" i="2"/>
  <c r="R20" i="2"/>
  <c r="R12" i="2"/>
  <c r="S12" i="2"/>
  <c r="R28" i="2"/>
  <c r="S28" i="2"/>
  <c r="S36" i="2"/>
  <c r="R36" i="2"/>
  <c r="T17" i="2"/>
  <c r="T27" i="2"/>
  <c r="X11" i="2"/>
  <c r="X27" i="2" s="1"/>
  <c r="W11" i="2"/>
  <c r="W27" i="2" s="1"/>
  <c r="W10" i="2"/>
  <c r="W26" i="2" s="1"/>
  <c r="X10" i="2"/>
  <c r="X26" i="2" s="1"/>
  <c r="X9" i="2"/>
  <c r="X25" i="2" s="1"/>
  <c r="W9" i="2"/>
  <c r="W25" i="2" s="1"/>
  <c r="W8" i="2"/>
  <c r="W24" i="2" s="1"/>
  <c r="X8" i="2"/>
  <c r="X24" i="2" s="1"/>
  <c r="W7" i="2"/>
  <c r="W23" i="2" s="1"/>
  <c r="W6" i="2"/>
  <c r="W22" i="2" s="1"/>
  <c r="X6" i="2"/>
  <c r="X22" i="2" s="1"/>
  <c r="T7" i="2"/>
  <c r="X7" i="2"/>
  <c r="X23" i="2" s="1"/>
  <c r="T6" i="2"/>
  <c r="T26" i="2"/>
  <c r="T16" i="2"/>
  <c r="T35" i="2"/>
  <c r="T25" i="2"/>
  <c r="T15" i="2"/>
  <c r="T34" i="2"/>
  <c r="T24" i="2"/>
  <c r="T14" i="2"/>
  <c r="T33" i="2"/>
  <c r="T23" i="2"/>
  <c r="T11" i="2"/>
  <c r="T32" i="2"/>
  <c r="T22" i="2"/>
  <c r="T10" i="2"/>
  <c r="T31" i="2"/>
  <c r="T19" i="2"/>
  <c r="T9" i="2"/>
  <c r="T30" i="2"/>
  <c r="T18" i="2"/>
  <c r="T8" i="2"/>
  <c r="Y42" i="3" l="1"/>
  <c r="Y16" i="3"/>
  <c r="Y12" i="3"/>
  <c r="Y8" i="3"/>
  <c r="Y14" i="3"/>
  <c r="Y40" i="3"/>
  <c r="U46" i="3"/>
  <c r="Y10" i="3"/>
  <c r="Y38" i="3"/>
  <c r="Y44" i="3"/>
  <c r="U18" i="3"/>
  <c r="Y36" i="3"/>
  <c r="Y34" i="3"/>
  <c r="Y6" i="3"/>
  <c r="U9" i="2"/>
  <c r="U27" i="2"/>
  <c r="U6" i="2"/>
  <c r="U25" i="2"/>
  <c r="U10" i="2"/>
  <c r="U8" i="2"/>
  <c r="U7" i="2"/>
  <c r="U11" i="2"/>
  <c r="U23" i="2"/>
  <c r="U22" i="2"/>
  <c r="U26" i="2"/>
  <c r="U24" i="2"/>
  <c r="U12" i="2" l="1"/>
  <c r="U28" i="2"/>
  <c r="Y9" i="2"/>
  <c r="Y27" i="2"/>
  <c r="Y11" i="2"/>
  <c r="Y24" i="2"/>
  <c r="Y25" i="2"/>
  <c r="Y26" i="2"/>
  <c r="Y7" i="2"/>
  <c r="Y23" i="2"/>
  <c r="Y6" i="2"/>
  <c r="Y22" i="2"/>
  <c r="Y8" i="2"/>
  <c r="Y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6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HARD OPERATION</t>
        </r>
      </text>
    </comment>
    <comment ref="N16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HARD OPERATION</t>
        </r>
      </text>
    </comment>
    <comment ref="D33" authorId="0" shapeId="0" xr:uid="{00000000-0006-0000-0000-00000F000000}">
      <text>
        <r>
          <rPr>
            <sz val="9"/>
            <color indexed="81"/>
            <rFont val="Tahoma"/>
            <family val="2"/>
          </rPr>
          <t xml:space="preserve">flame impingement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L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HARD OPERATION</t>
        </r>
      </text>
    </comment>
    <comment ref="N8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HARD OPERATION</t>
        </r>
      </text>
    </comment>
    <comment ref="E10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Half open in field</t>
        </r>
      </text>
    </comment>
    <comment ref="F10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Flame issue 
</t>
        </r>
      </text>
    </comment>
    <comment ref="N12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OFF GAS HARD OPERATION
</t>
        </r>
      </text>
    </comment>
    <comment ref="O12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valve D/S flange leak in NG burner 
</t>
        </r>
      </text>
    </comment>
    <comment ref="H24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HARD OPERATION</t>
        </r>
      </text>
    </comment>
    <comment ref="N24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HARD OPERATION</t>
        </r>
      </text>
    </comment>
    <comment ref="K36" authorId="0" shapeId="0" xr:uid="{00000000-0006-0000-0100-000009000000}">
      <text>
        <r>
          <rPr>
            <sz val="9"/>
            <color indexed="81"/>
            <rFont val="Tahoma"/>
            <family val="2"/>
          </rPr>
          <t xml:space="preserve">Hard operation of off gas valve
</t>
        </r>
      </text>
    </comment>
    <comment ref="M3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tight operation , could not light up</t>
        </r>
      </text>
    </comment>
    <comment ref="E38" authorId="0" shapeId="0" xr:uid="{00000000-0006-0000-0100-00000B000000}">
      <text>
        <r>
          <rPr>
            <sz val="9"/>
            <color indexed="81"/>
            <rFont val="Tahoma"/>
            <family val="2"/>
          </rPr>
          <t xml:space="preserve">flame impingement
</t>
        </r>
      </text>
    </comment>
    <comment ref="G40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HARD OPERATION</t>
        </r>
      </text>
    </comment>
    <comment ref="P40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HARD OPERATION</t>
        </r>
      </text>
    </comment>
    <comment ref="D42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OFF GAS HARD</t>
        </r>
      </text>
    </comment>
    <comment ref="D54" authorId="0" shapeId="0" xr:uid="{00000000-0006-0000-0100-00000F000000}">
      <text>
        <r>
          <rPr>
            <sz val="9"/>
            <color indexed="81"/>
            <rFont val="Tahoma"/>
            <family val="2"/>
          </rPr>
          <t xml:space="preserve">flame impingement
</t>
        </r>
      </text>
    </comment>
    <comment ref="Q54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burner not working fine
</t>
        </r>
      </text>
    </comment>
  </commentList>
</comments>
</file>

<file path=xl/sharedStrings.xml><?xml version="1.0" encoding="utf-8"?>
<sst xmlns="http://schemas.openxmlformats.org/spreadsheetml/2006/main" count="473" uniqueCount="26">
  <si>
    <t>Reformer-A WALL</t>
  </si>
  <si>
    <t>ROW 1</t>
  </si>
  <si>
    <t>N</t>
  </si>
  <si>
    <t>C</t>
  </si>
  <si>
    <t>ROW 2</t>
  </si>
  <si>
    <t>ROW 3</t>
  </si>
  <si>
    <t>ROW 4</t>
  </si>
  <si>
    <t>ROW 5</t>
  </si>
  <si>
    <t>ROW 6</t>
  </si>
  <si>
    <t>O</t>
  </si>
  <si>
    <t>B</t>
  </si>
  <si>
    <t>OFF GAS AND NG BURNER</t>
  </si>
  <si>
    <t>OFF GAS BURNER</t>
  </si>
  <si>
    <t>NG BURNER</t>
  </si>
  <si>
    <t>BOTH BURNER CLOSED</t>
  </si>
  <si>
    <t>TOTAL</t>
  </si>
  <si>
    <t>DIFFERENCE</t>
  </si>
  <si>
    <t>AB total</t>
  </si>
  <si>
    <t>CD total</t>
  </si>
  <si>
    <t>OFF Gas Diff</t>
  </si>
  <si>
    <t>NG Diff</t>
  </si>
  <si>
    <t>AIR REGISTER POSITION</t>
  </si>
  <si>
    <t>Reformer-B WALL</t>
  </si>
  <si>
    <t>Reformer-C WALL</t>
  </si>
  <si>
    <t>Reformer-D WALL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</si>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</sst>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6" fillId="0" borderId="4" xfId="0" applyFont="1" applyBorder="1" applyAlignment="1">
      <alignment horizontal="center"/>
    </xf>
    <xf numFmtId="2" fontId="6" fillId="0" borderId="4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2" fontId="6" fillId="0" borderId="9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2" fillId="0" borderId="7" xfId="0" applyFont="1" applyBorder="1"/>
    <xf numFmtId="0" fontId="2" fillId="0" borderId="2" xfId="0" applyFont="1" applyBorder="1"/>
    <xf numFmtId="0" fontId="5" fillId="0" borderId="2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4" xfId="0" applyBorder="1"/>
    <xf numFmtId="0" fontId="0" fillId="0" borderId="23" xfId="0" applyBorder="1"/>
    <xf numFmtId="0" fontId="0" fillId="0" borderId="10" xfId="0" applyBorder="1"/>
    <xf numFmtId="0" fontId="0" fillId="0" borderId="24" xfId="0" applyBorder="1"/>
    <xf numFmtId="0" fontId="0" fillId="0" borderId="12" xfId="0" applyBorder="1"/>
    <xf numFmtId="0" fontId="0" fillId="0" borderId="25" xfId="0" applyBorder="1"/>
    <xf numFmtId="0" fontId="0" fillId="0" borderId="3" xfId="0" applyBorder="1"/>
    <xf numFmtId="0" fontId="0" fillId="0" borderId="1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8" xfId="0" applyBorder="1"/>
    <xf numFmtId="0" fontId="4" fillId="0" borderId="15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0" fillId="0" borderId="19" xfId="0" applyBorder="1"/>
    <xf numFmtId="0" fontId="5" fillId="0" borderId="25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3" fillId="0" borderId="15" xfId="0" applyFont="1" applyBorder="1"/>
    <xf numFmtId="0" fontId="3" fillId="0" borderId="16" xfId="0" applyFont="1" applyBorder="1"/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/>
    <xf numFmtId="0" fontId="0" fillId="0" borderId="13" xfId="0" applyBorder="1"/>
    <xf numFmtId="0" fontId="0" fillId="0" borderId="11" xfId="0" applyBorder="1"/>
    <xf numFmtId="0" fontId="1" fillId="0" borderId="32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1" fillId="8" borderId="4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29" xfId="0" applyBorder="1"/>
    <xf numFmtId="0" fontId="0" fillId="0" borderId="27" xfId="0" applyBorder="1"/>
    <xf numFmtId="0" fontId="0" fillId="0" borderId="37" xfId="0" applyBorder="1"/>
    <xf numFmtId="0" fontId="0" fillId="0" borderId="28" xfId="0" applyBorder="1"/>
    <xf numFmtId="0" fontId="9" fillId="0" borderId="4" xfId="0" applyFont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9" fillId="4" borderId="7" xfId="0" applyFont="1" applyFill="1" applyBorder="1" applyAlignment="1">
      <alignment horizontal="center"/>
    </xf>
    <xf numFmtId="2" fontId="9" fillId="0" borderId="4" xfId="0" applyNumberFormat="1" applyFont="1" applyBorder="1" applyAlignment="1">
      <alignment horizontal="center"/>
    </xf>
    <xf numFmtId="0" fontId="9" fillId="3" borderId="21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9" fillId="6" borderId="21" xfId="0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9" fillId="5" borderId="21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9" fillId="7" borderId="21" xfId="0" applyFont="1" applyFill="1" applyBorder="1" applyAlignment="1">
      <alignment horizontal="center"/>
    </xf>
    <xf numFmtId="0" fontId="9" fillId="7" borderId="2" xfId="0" applyFont="1" applyFill="1" applyBorder="1" applyAlignment="1">
      <alignment horizontal="center"/>
    </xf>
    <xf numFmtId="0" fontId="10" fillId="7" borderId="2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/>
    </xf>
    <xf numFmtId="0" fontId="10" fillId="7" borderId="30" xfId="0" applyFont="1" applyFill="1" applyBorder="1" applyAlignment="1">
      <alignment horizontal="center" vertical="center"/>
    </xf>
    <xf numFmtId="0" fontId="10" fillId="0" borderId="2" xfId="0" applyFont="1" applyBorder="1"/>
    <xf numFmtId="0" fontId="10" fillId="0" borderId="14" xfId="0" applyFont="1" applyBorder="1"/>
    <xf numFmtId="0" fontId="9" fillId="7" borderId="6" xfId="0" applyFont="1" applyFill="1" applyBorder="1" applyAlignment="1">
      <alignment horizontal="center"/>
    </xf>
    <xf numFmtId="0" fontId="10" fillId="7" borderId="30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2" fontId="9" fillId="0" borderId="0" xfId="0" applyNumberFormat="1" applyFont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34" xfId="0" applyFont="1" applyFill="1" applyBorder="1" applyAlignment="1">
      <alignment horizontal="center"/>
    </xf>
    <xf numFmtId="0" fontId="10" fillId="2" borderId="36" xfId="0" applyFont="1" applyFill="1" applyBorder="1" applyAlignment="1">
      <alignment horizontal="center"/>
    </xf>
    <xf numFmtId="0" fontId="10" fillId="0" borderId="0" xfId="0" applyFont="1"/>
    <xf numFmtId="0" fontId="9" fillId="0" borderId="38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8" xfId="0" applyFont="1" applyBorder="1"/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9" fillId="4" borderId="14" xfId="0" applyFont="1" applyFill="1" applyBorder="1" applyAlignment="1">
      <alignment horizontal="center"/>
    </xf>
    <xf numFmtId="0" fontId="5" fillId="0" borderId="20" xfId="0" applyFont="1" applyBorder="1" applyAlignment="1">
      <alignment horizontal="center" wrapText="1"/>
    </xf>
    <xf numFmtId="0" fontId="1" fillId="8" borderId="9" xfId="0" applyFont="1" applyFill="1" applyBorder="1" applyAlignment="1">
      <alignment horizontal="center"/>
    </xf>
    <xf numFmtId="0" fontId="9" fillId="5" borderId="30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2" fillId="0" borderId="2" xfId="0" applyFont="1" applyBorder="1" applyAlignment="1">
      <alignment vertical="center"/>
    </xf>
    <xf numFmtId="0" fontId="4" fillId="0" borderId="1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9" fillId="2" borderId="27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0" borderId="8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9" xfId="0" applyFont="1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9" fillId="0" borderId="3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9" fillId="0" borderId="33" xfId="0" applyFont="1" applyBorder="1" applyAlignment="1">
      <alignment horizontal="center"/>
    </xf>
  </cellXfs>
  <cellStyles count="1">
    <cellStyle name="Normal" xfId="0" builtinId="0"/>
  </cellStyles>
  <dxfs count="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3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3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9998168889431442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8.128.182\south%20block%20documents\Users\00514267\Desktop\chemical%20optimisation\reformer%20duty2%20-%20Copy%20-%20Copy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8.128.182\south%20block%20documents\Users\00514267\Desktop\chemical%20optimisation\Chemica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>
        <row r="12">
          <cell r="A12" t="str">
            <v/>
          </cell>
          <cell r="B12" t="str">
            <v>gja.2041li6254.pv</v>
          </cell>
        </row>
        <row r="13">
          <cell r="A13" t="str">
            <v>Timestamp</v>
          </cell>
          <cell r="B13" t="str">
            <v>gja.2041li6254.pv - Snapshot</v>
          </cell>
          <cell r="C13" t="str">
            <v>gja.2041li6254.pv - Snapshot - Confidence</v>
          </cell>
        </row>
        <row r="14">
          <cell r="A14">
            <v>43975.459907407407</v>
          </cell>
          <cell r="B14">
            <v>84.67</v>
          </cell>
          <cell r="C14">
            <v>100</v>
          </cell>
        </row>
        <row r="15">
          <cell r="A15">
            <v>43975.501574074071</v>
          </cell>
          <cell r="B15">
            <v>83.34</v>
          </cell>
          <cell r="C15">
            <v>100</v>
          </cell>
        </row>
        <row r="16">
          <cell r="A16">
            <v>43975.543240740742</v>
          </cell>
          <cell r="B16">
            <v>82.48</v>
          </cell>
          <cell r="C16">
            <v>100</v>
          </cell>
        </row>
        <row r="17">
          <cell r="A17">
            <v>43975.584907407407</v>
          </cell>
          <cell r="B17">
            <v>81.540000000000006</v>
          </cell>
          <cell r="C17">
            <v>100</v>
          </cell>
        </row>
        <row r="18">
          <cell r="A18">
            <v>43975.626574074071</v>
          </cell>
          <cell r="B18">
            <v>80.98</v>
          </cell>
          <cell r="C18">
            <v>100</v>
          </cell>
        </row>
        <row r="19">
          <cell r="A19">
            <v>43975.668240740742</v>
          </cell>
          <cell r="B19">
            <v>80.09</v>
          </cell>
          <cell r="C19">
            <v>100</v>
          </cell>
        </row>
        <row r="20">
          <cell r="A20">
            <v>43975.709907407407</v>
          </cell>
          <cell r="B20">
            <v>78.8</v>
          </cell>
          <cell r="C20">
            <v>100</v>
          </cell>
        </row>
        <row r="21">
          <cell r="A21">
            <v>43975.751574074071</v>
          </cell>
          <cell r="B21">
            <v>77.900000000000006</v>
          </cell>
          <cell r="C21">
            <v>100</v>
          </cell>
        </row>
        <row r="22">
          <cell r="A22">
            <v>43975.793240740742</v>
          </cell>
          <cell r="B22">
            <v>77</v>
          </cell>
          <cell r="C22">
            <v>100</v>
          </cell>
        </row>
        <row r="23">
          <cell r="A23">
            <v>43975.834907407407</v>
          </cell>
          <cell r="B23">
            <v>89.95</v>
          </cell>
          <cell r="C23">
            <v>100</v>
          </cell>
        </row>
        <row r="24">
          <cell r="A24">
            <v>43975.876574074071</v>
          </cell>
          <cell r="B24">
            <v>89</v>
          </cell>
          <cell r="C24">
            <v>100</v>
          </cell>
        </row>
        <row r="25">
          <cell r="A25">
            <v>43975.918240740742</v>
          </cell>
          <cell r="B25">
            <v>88.19</v>
          </cell>
          <cell r="C25">
            <v>100</v>
          </cell>
        </row>
        <row r="26">
          <cell r="A26">
            <v>43975.959907407407</v>
          </cell>
          <cell r="B26">
            <v>87.19</v>
          </cell>
          <cell r="C26">
            <v>100</v>
          </cell>
        </row>
        <row r="27">
          <cell r="A27">
            <v>43976.001574074071</v>
          </cell>
          <cell r="B27">
            <v>86.58</v>
          </cell>
          <cell r="C27">
            <v>100</v>
          </cell>
        </row>
        <row r="28">
          <cell r="A28">
            <v>43976.043240740742</v>
          </cell>
          <cell r="B28">
            <v>85.96</v>
          </cell>
          <cell r="C28">
            <v>100</v>
          </cell>
        </row>
        <row r="29">
          <cell r="A29">
            <v>43976.084907407407</v>
          </cell>
          <cell r="B29">
            <v>85.15</v>
          </cell>
          <cell r="C29">
            <v>100</v>
          </cell>
        </row>
        <row r="30">
          <cell r="A30">
            <v>43976.126574074071</v>
          </cell>
          <cell r="B30">
            <v>84.38</v>
          </cell>
          <cell r="C30">
            <v>100</v>
          </cell>
        </row>
        <row r="31">
          <cell r="A31">
            <v>43976.168240740742</v>
          </cell>
          <cell r="B31">
            <v>83.8</v>
          </cell>
          <cell r="C31">
            <v>100</v>
          </cell>
        </row>
        <row r="32">
          <cell r="A32">
            <v>43976.209907407407</v>
          </cell>
          <cell r="B32">
            <v>83.22</v>
          </cell>
          <cell r="C32">
            <v>100</v>
          </cell>
        </row>
        <row r="33">
          <cell r="A33">
            <v>43976.251574074071</v>
          </cell>
          <cell r="B33">
            <v>82.21</v>
          </cell>
          <cell r="C33">
            <v>100</v>
          </cell>
        </row>
        <row r="34">
          <cell r="A34">
            <v>43976.293240740742</v>
          </cell>
          <cell r="B34">
            <v>81.66</v>
          </cell>
          <cell r="C34">
            <v>100</v>
          </cell>
        </row>
        <row r="35">
          <cell r="A35">
            <v>43976.334907407407</v>
          </cell>
          <cell r="B35">
            <v>81.11</v>
          </cell>
          <cell r="C35">
            <v>100</v>
          </cell>
        </row>
        <row r="36">
          <cell r="A36">
            <v>43976.376574074071</v>
          </cell>
          <cell r="B36">
            <v>80.22</v>
          </cell>
          <cell r="C36">
            <v>100</v>
          </cell>
        </row>
        <row r="37">
          <cell r="A37">
            <v>43976.418240740742</v>
          </cell>
          <cell r="B37">
            <v>80.12</v>
          </cell>
          <cell r="C37">
            <v>100</v>
          </cell>
        </row>
        <row r="38">
          <cell r="A38">
            <v>43976.459907407407</v>
          </cell>
          <cell r="B38">
            <v>79.36</v>
          </cell>
          <cell r="C38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6"/>
    </sheetNames>
    <sheetDataSet>
      <sheetData sheetId="0"/>
      <sheetData sheetId="1"/>
      <sheetData sheetId="2">
        <row r="2">
          <cell r="A2" t="str">
            <v/>
          </cell>
          <cell r="B2" t="str">
            <v>Timestamp</v>
          </cell>
          <cell r="C2">
            <v>43984.642071759263</v>
          </cell>
          <cell r="D2">
            <v>43984.683738425927</v>
          </cell>
          <cell r="E2">
            <v>43984.725405092591</v>
          </cell>
          <cell r="F2">
            <v>43984.767071759263</v>
          </cell>
          <cell r="G2">
            <v>43984.808738425927</v>
          </cell>
          <cell r="H2">
            <v>43984.850405092591</v>
          </cell>
          <cell r="I2">
            <v>43984.892071759263</v>
          </cell>
          <cell r="J2">
            <v>43984.933738425927</v>
          </cell>
          <cell r="K2">
            <v>43984.975405092591</v>
          </cell>
        </row>
        <row r="3">
          <cell r="A3" t="str">
            <v>gja.2041li6254.pv</v>
          </cell>
          <cell r="B3" t="str">
            <v>gja.2041li6254.pv - Average</v>
          </cell>
          <cell r="C3">
            <v>93.82</v>
          </cell>
          <cell r="D3">
            <v>91.46</v>
          </cell>
          <cell r="E3">
            <v>90.89</v>
          </cell>
          <cell r="F3">
            <v>90.02</v>
          </cell>
          <cell r="G3">
            <v>89.05</v>
          </cell>
          <cell r="H3">
            <v>88.2</v>
          </cell>
          <cell r="I3">
            <v>87.08</v>
          </cell>
          <cell r="J3">
            <v>86.29</v>
          </cell>
          <cell r="K3">
            <v>85.27</v>
          </cell>
        </row>
        <row r="4">
          <cell r="A4" t="str">
            <v>gja.2041li6255.pv</v>
          </cell>
          <cell r="B4" t="str">
            <v>gja.2041li6255.pv - Average</v>
          </cell>
          <cell r="C4">
            <v>94.05</v>
          </cell>
          <cell r="D4">
            <v>95.56</v>
          </cell>
          <cell r="E4">
            <v>94.02</v>
          </cell>
          <cell r="F4">
            <v>91.99</v>
          </cell>
          <cell r="G4">
            <v>89.92</v>
          </cell>
          <cell r="H4">
            <v>87.98</v>
          </cell>
          <cell r="I4">
            <v>86.25</v>
          </cell>
          <cell r="J4">
            <v>84.37</v>
          </cell>
          <cell r="K4">
            <v>82.61</v>
          </cell>
        </row>
        <row r="5">
          <cell r="A5" t="str">
            <v>gja.2041li6256.pv</v>
          </cell>
          <cell r="B5" t="str">
            <v>gja.2041li6256.pv - Average</v>
          </cell>
          <cell r="C5">
            <v>91.45</v>
          </cell>
          <cell r="D5">
            <v>93.61</v>
          </cell>
          <cell r="E5">
            <v>91.87</v>
          </cell>
          <cell r="F5">
            <v>90.67</v>
          </cell>
          <cell r="G5">
            <v>89.51</v>
          </cell>
          <cell r="H5">
            <v>87.98</v>
          </cell>
          <cell r="I5">
            <v>86.46</v>
          </cell>
          <cell r="J5">
            <v>85.11</v>
          </cell>
          <cell r="K5">
            <v>83.46</v>
          </cell>
        </row>
        <row r="6">
          <cell r="A6" t="str">
            <v>gja.2092li0868.pv</v>
          </cell>
          <cell r="B6" t="str">
            <v>gja.2092li0868.pv - Average</v>
          </cell>
          <cell r="C6">
            <v>32.81</v>
          </cell>
          <cell r="D6">
            <v>32.43</v>
          </cell>
          <cell r="E6">
            <v>32.06</v>
          </cell>
          <cell r="F6">
            <v>31.75</v>
          </cell>
          <cell r="G6">
            <v>31.46</v>
          </cell>
          <cell r="H6">
            <v>31.11</v>
          </cell>
          <cell r="I6">
            <v>30.65</v>
          </cell>
          <cell r="J6">
            <v>30.34</v>
          </cell>
          <cell r="K6">
            <v>29.98</v>
          </cell>
        </row>
        <row r="7">
          <cell r="A7" t="str">
            <v>gja.2041li2057.pv</v>
          </cell>
          <cell r="B7" t="str">
            <v>gja.2041li2057.pv - Average</v>
          </cell>
          <cell r="C7">
            <v>33.04</v>
          </cell>
          <cell r="D7">
            <v>32.49</v>
          </cell>
          <cell r="E7">
            <v>32.619999999999997</v>
          </cell>
          <cell r="F7">
            <v>32.53</v>
          </cell>
          <cell r="G7">
            <v>32.4</v>
          </cell>
          <cell r="H7">
            <v>32.36</v>
          </cell>
          <cell r="I7">
            <v>32.46</v>
          </cell>
          <cell r="J7">
            <v>32.47</v>
          </cell>
          <cell r="K7">
            <v>32.6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3:AG45"/>
  <sheetViews>
    <sheetView tabSelected="1" topLeftCell="A17" zoomScaleNormal="100" workbookViewId="0">
      <selection activeCell="L38" sqref="L38"/>
    </sheetView>
  </sheetViews>
  <sheetFormatPr defaultRowHeight="15" x14ac:dyDescent="0.25"/>
  <cols>
    <col min="2" max="2" width="9.85546875" bestFit="1" customWidth="1"/>
    <col min="3" max="17" width="7" customWidth="1"/>
    <col min="18" max="24" width="11" customWidth="1"/>
    <col min="25" max="25" width="11.5703125" bestFit="1" customWidth="1"/>
    <col min="28" max="31" width="6.140625" customWidth="1"/>
  </cols>
  <sheetData>
    <row r="3" spans="2:33" ht="15.75" thickBot="1" x14ac:dyDescent="0.3"/>
    <row r="4" spans="2:33" ht="19.5" thickBot="1" x14ac:dyDescent="0.35">
      <c r="B4" s="8"/>
      <c r="C4" s="113" t="s">
        <v>0</v>
      </c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4"/>
      <c r="R4" s="34"/>
      <c r="S4" s="35"/>
    </row>
    <row r="5" spans="2:33" s="108" customFormat="1" ht="30.75" thickBot="1" x14ac:dyDescent="0.3">
      <c r="B5" s="97"/>
      <c r="C5" s="98">
        <v>1</v>
      </c>
      <c r="D5" s="99">
        <v>2</v>
      </c>
      <c r="E5" s="99">
        <v>3</v>
      </c>
      <c r="F5" s="99">
        <v>4</v>
      </c>
      <c r="G5" s="99">
        <v>5</v>
      </c>
      <c r="H5" s="99">
        <v>6</v>
      </c>
      <c r="I5" s="99">
        <v>7</v>
      </c>
      <c r="J5" s="99">
        <v>8</v>
      </c>
      <c r="K5" s="99">
        <v>9</v>
      </c>
      <c r="L5" s="99">
        <v>10</v>
      </c>
      <c r="M5" s="99">
        <v>11</v>
      </c>
      <c r="N5" s="99">
        <v>12</v>
      </c>
      <c r="O5" s="99">
        <v>13</v>
      </c>
      <c r="P5" s="99">
        <v>14</v>
      </c>
      <c r="Q5" s="100">
        <v>15</v>
      </c>
      <c r="R5" s="101" t="s">
        <v>12</v>
      </c>
      <c r="S5" s="102" t="s">
        <v>13</v>
      </c>
      <c r="T5" s="103" t="s">
        <v>15</v>
      </c>
      <c r="U5" s="104" t="s">
        <v>17</v>
      </c>
      <c r="V5" s="105"/>
      <c r="W5" s="106" t="s">
        <v>19</v>
      </c>
      <c r="X5" s="106" t="s">
        <v>20</v>
      </c>
      <c r="Y5" s="107" t="s">
        <v>16</v>
      </c>
    </row>
    <row r="6" spans="2:33" ht="23.25" x14ac:dyDescent="0.35">
      <c r="B6" s="10" t="s">
        <v>1</v>
      </c>
      <c r="C6" s="94" t="s">
        <v>2</v>
      </c>
      <c r="D6" s="55" t="s">
        <v>9</v>
      </c>
      <c r="E6" s="55" t="s">
        <v>2</v>
      </c>
      <c r="F6" s="55" t="s">
        <v>9</v>
      </c>
      <c r="G6" s="55" t="s">
        <v>3</v>
      </c>
      <c r="H6" s="55" t="s">
        <v>3</v>
      </c>
      <c r="I6" s="55" t="s">
        <v>3</v>
      </c>
      <c r="J6" s="55" t="s">
        <v>3</v>
      </c>
      <c r="K6" s="55" t="s">
        <v>2</v>
      </c>
      <c r="L6" s="55" t="s">
        <v>2</v>
      </c>
      <c r="M6" s="55" t="s">
        <v>2</v>
      </c>
      <c r="N6" s="55" t="s">
        <v>3</v>
      </c>
      <c r="O6" s="55" t="s">
        <v>9</v>
      </c>
      <c r="P6" s="55" t="s">
        <v>3</v>
      </c>
      <c r="Q6" s="55" t="s">
        <v>3</v>
      </c>
      <c r="R6" s="56">
        <f>COUNTIF(C6:Q6,"O")+COUNTIF(C6:Q6,"B")</f>
        <v>3</v>
      </c>
      <c r="S6" s="57">
        <f>COUNTIF(C6:Q6,"N")+COUNTIF(C6:Q6,"B")</f>
        <v>5</v>
      </c>
      <c r="T6" s="58">
        <f>S6+R6</f>
        <v>8</v>
      </c>
      <c r="U6" s="24">
        <f t="shared" ref="U6:U11" si="0">T6+T14</f>
        <v>19</v>
      </c>
      <c r="V6" s="13"/>
      <c r="W6" s="36">
        <f t="shared" ref="W6:X11" si="1">R6+R14-R22-R30</f>
        <v>8</v>
      </c>
      <c r="X6" s="36">
        <f t="shared" si="1"/>
        <v>6</v>
      </c>
      <c r="Y6" s="31">
        <f t="shared" ref="Y6:Y11" si="2">U6-U22</f>
        <v>14</v>
      </c>
    </row>
    <row r="7" spans="2:33" ht="23.25" x14ac:dyDescent="0.35">
      <c r="B7" s="95" t="s">
        <v>4</v>
      </c>
      <c r="C7" s="94" t="s">
        <v>10</v>
      </c>
      <c r="D7" s="55" t="s">
        <v>9</v>
      </c>
      <c r="E7" s="55" t="s">
        <v>2</v>
      </c>
      <c r="F7" s="55" t="s">
        <v>2</v>
      </c>
      <c r="G7" s="55" t="s">
        <v>3</v>
      </c>
      <c r="H7" s="55" t="s">
        <v>9</v>
      </c>
      <c r="I7" s="55" t="s">
        <v>3</v>
      </c>
      <c r="J7" s="55" t="s">
        <v>3</v>
      </c>
      <c r="K7" s="55" t="s">
        <v>2</v>
      </c>
      <c r="L7" s="55" t="s">
        <v>10</v>
      </c>
      <c r="M7" s="55" t="s">
        <v>9</v>
      </c>
      <c r="N7" s="55" t="s">
        <v>9</v>
      </c>
      <c r="O7" s="55" t="s">
        <v>2</v>
      </c>
      <c r="P7" s="59" t="s">
        <v>9</v>
      </c>
      <c r="Q7" s="59" t="s">
        <v>10</v>
      </c>
      <c r="R7" s="60">
        <f t="shared" ref="R7:R35" si="3">COUNTIF(C7:Q7,"O")+COUNTIF(C7:Q7,"B")</f>
        <v>8</v>
      </c>
      <c r="S7" s="61">
        <f t="shared" ref="S7:S35" si="4">COUNTIF(C7:Q7,"N")+COUNTIF(C7:Q7,"B")</f>
        <v>7</v>
      </c>
      <c r="T7" s="61">
        <f t="shared" ref="T7:T35" si="5">S7+R7</f>
        <v>15</v>
      </c>
      <c r="U7" s="25">
        <f t="shared" si="0"/>
        <v>35</v>
      </c>
      <c r="V7" s="11"/>
      <c r="W7" s="36">
        <f t="shared" si="1"/>
        <v>-2</v>
      </c>
      <c r="X7" s="36">
        <f t="shared" si="1"/>
        <v>-13</v>
      </c>
      <c r="Y7" s="32">
        <f t="shared" si="2"/>
        <v>-15</v>
      </c>
      <c r="AA7" s="45" t="s">
        <v>10</v>
      </c>
      <c r="AB7" s="112" t="s">
        <v>11</v>
      </c>
      <c r="AC7" s="112"/>
      <c r="AD7" s="112"/>
      <c r="AE7" s="112"/>
    </row>
    <row r="8" spans="2:33" ht="23.25" x14ac:dyDescent="0.35">
      <c r="B8" s="10" t="s">
        <v>5</v>
      </c>
      <c r="C8" s="94" t="s">
        <v>9</v>
      </c>
      <c r="D8" s="55" t="s">
        <v>9</v>
      </c>
      <c r="E8" s="55" t="s">
        <v>9</v>
      </c>
      <c r="F8" s="55" t="s">
        <v>2</v>
      </c>
      <c r="G8" s="55" t="s">
        <v>9</v>
      </c>
      <c r="H8" s="55" t="s">
        <v>9</v>
      </c>
      <c r="I8" s="55" t="s">
        <v>2</v>
      </c>
      <c r="J8" s="55" t="s">
        <v>2</v>
      </c>
      <c r="K8" s="55" t="s">
        <v>10</v>
      </c>
      <c r="L8" s="55" t="s">
        <v>25</v>
      </c>
      <c r="M8" s="55" t="s">
        <v>3</v>
      </c>
      <c r="N8" s="55" t="s">
        <v>3</v>
      </c>
      <c r="O8" s="59" t="s">
        <v>2</v>
      </c>
      <c r="P8" s="59" t="s">
        <v>9</v>
      </c>
      <c r="Q8" s="59" t="s">
        <v>3</v>
      </c>
      <c r="R8" s="62">
        <f t="shared" si="3"/>
        <v>7</v>
      </c>
      <c r="S8" s="63">
        <f t="shared" si="4"/>
        <v>5</v>
      </c>
      <c r="T8" s="64">
        <f t="shared" si="5"/>
        <v>12</v>
      </c>
      <c r="U8" s="25">
        <f t="shared" si="0"/>
        <v>25</v>
      </c>
      <c r="V8" s="11"/>
      <c r="W8" s="36">
        <f t="shared" si="1"/>
        <v>-11</v>
      </c>
      <c r="X8" s="36">
        <f t="shared" si="1"/>
        <v>1</v>
      </c>
      <c r="Y8" s="32">
        <f t="shared" si="2"/>
        <v>-10</v>
      </c>
      <c r="AA8" s="115"/>
      <c r="AB8" s="116"/>
      <c r="AC8" s="116"/>
      <c r="AD8" s="116"/>
      <c r="AE8" s="117"/>
    </row>
    <row r="9" spans="2:33" ht="23.25" x14ac:dyDescent="0.35">
      <c r="B9" s="95" t="s">
        <v>6</v>
      </c>
      <c r="C9" s="94" t="s">
        <v>3</v>
      </c>
      <c r="D9" s="55" t="s">
        <v>3</v>
      </c>
      <c r="E9" s="55" t="s">
        <v>2</v>
      </c>
      <c r="F9" s="55" t="s">
        <v>10</v>
      </c>
      <c r="G9" s="55" t="s">
        <v>10</v>
      </c>
      <c r="H9" s="55" t="s">
        <v>10</v>
      </c>
      <c r="I9" s="55" t="s">
        <v>9</v>
      </c>
      <c r="J9" s="55" t="s">
        <v>3</v>
      </c>
      <c r="K9" s="55" t="s">
        <v>3</v>
      </c>
      <c r="L9" s="59" t="s">
        <v>9</v>
      </c>
      <c r="M9" s="59" t="s">
        <v>3</v>
      </c>
      <c r="N9" s="59" t="s">
        <v>9</v>
      </c>
      <c r="O9" s="59" t="s">
        <v>9</v>
      </c>
      <c r="P9" s="59" t="s">
        <v>3</v>
      </c>
      <c r="Q9" s="59" t="s">
        <v>3</v>
      </c>
      <c r="R9" s="65">
        <f t="shared" si="3"/>
        <v>7</v>
      </c>
      <c r="S9" s="66">
        <f t="shared" si="4"/>
        <v>4</v>
      </c>
      <c r="T9" s="66">
        <f t="shared" si="5"/>
        <v>11</v>
      </c>
      <c r="U9" s="25">
        <f t="shared" si="0"/>
        <v>24</v>
      </c>
      <c r="V9" s="11"/>
      <c r="W9" s="36">
        <f t="shared" si="1"/>
        <v>1</v>
      </c>
      <c r="X9" s="36">
        <f t="shared" si="1"/>
        <v>4</v>
      </c>
      <c r="Y9" s="32">
        <f t="shared" si="2"/>
        <v>5</v>
      </c>
      <c r="AA9" s="2" t="s">
        <v>9</v>
      </c>
      <c r="AB9" s="112" t="s">
        <v>12</v>
      </c>
      <c r="AC9" s="112"/>
      <c r="AD9" s="112"/>
      <c r="AE9" s="112"/>
    </row>
    <row r="10" spans="2:33" ht="23.25" x14ac:dyDescent="0.35">
      <c r="B10" s="10" t="s">
        <v>7</v>
      </c>
      <c r="C10" s="94" t="s">
        <v>10</v>
      </c>
      <c r="D10" s="72" t="s">
        <v>2</v>
      </c>
      <c r="E10" s="55" t="s">
        <v>10</v>
      </c>
      <c r="F10" s="55" t="s">
        <v>3</v>
      </c>
      <c r="G10" s="55" t="s">
        <v>9</v>
      </c>
      <c r="H10" s="55" t="s">
        <v>9</v>
      </c>
      <c r="I10" s="55" t="s">
        <v>10</v>
      </c>
      <c r="J10" s="55" t="s">
        <v>10</v>
      </c>
      <c r="K10" s="55" t="s">
        <v>10</v>
      </c>
      <c r="L10" s="59" t="s">
        <v>2</v>
      </c>
      <c r="M10" s="59" t="s">
        <v>3</v>
      </c>
      <c r="N10" s="59" t="s">
        <v>9</v>
      </c>
      <c r="O10" s="59" t="s">
        <v>2</v>
      </c>
      <c r="P10" s="59" t="s">
        <v>9</v>
      </c>
      <c r="Q10" s="59" t="s">
        <v>10</v>
      </c>
      <c r="R10" s="67">
        <f t="shared" si="3"/>
        <v>10</v>
      </c>
      <c r="S10" s="68">
        <f t="shared" si="4"/>
        <v>9</v>
      </c>
      <c r="T10" s="68">
        <f t="shared" si="5"/>
        <v>19</v>
      </c>
      <c r="U10" s="25">
        <f t="shared" si="0"/>
        <v>40</v>
      </c>
      <c r="V10" s="11"/>
      <c r="W10" s="36">
        <f t="shared" si="1"/>
        <v>-5</v>
      </c>
      <c r="X10" s="36">
        <f t="shared" si="1"/>
        <v>7</v>
      </c>
      <c r="Y10" s="32">
        <f t="shared" si="2"/>
        <v>2</v>
      </c>
      <c r="AA10" s="115"/>
      <c r="AB10" s="116"/>
      <c r="AC10" s="116"/>
      <c r="AD10" s="116"/>
      <c r="AE10" s="117"/>
    </row>
    <row r="11" spans="2:33" ht="23.25" x14ac:dyDescent="0.35">
      <c r="B11" s="10" t="s">
        <v>8</v>
      </c>
      <c r="C11" s="94" t="s">
        <v>9</v>
      </c>
      <c r="D11" s="55" t="s">
        <v>3</v>
      </c>
      <c r="E11" s="55" t="s">
        <v>9</v>
      </c>
      <c r="F11" s="55" t="s">
        <v>10</v>
      </c>
      <c r="G11" s="55" t="s">
        <v>2</v>
      </c>
      <c r="H11" s="55" t="s">
        <v>10</v>
      </c>
      <c r="I11" s="55" t="s">
        <v>2</v>
      </c>
      <c r="J11" s="55" t="s">
        <v>2</v>
      </c>
      <c r="K11" s="55" t="s">
        <v>3</v>
      </c>
      <c r="L11" s="59" t="s">
        <v>2</v>
      </c>
      <c r="M11" s="59" t="s">
        <v>3</v>
      </c>
      <c r="N11" s="59" t="s">
        <v>2</v>
      </c>
      <c r="O11" s="59" t="s">
        <v>3</v>
      </c>
      <c r="P11" s="59" t="s">
        <v>10</v>
      </c>
      <c r="Q11" s="59" t="s">
        <v>2</v>
      </c>
      <c r="R11" s="69">
        <f t="shared" si="3"/>
        <v>5</v>
      </c>
      <c r="S11" s="70">
        <f t="shared" si="4"/>
        <v>9</v>
      </c>
      <c r="T11" s="71">
        <f t="shared" si="5"/>
        <v>14</v>
      </c>
      <c r="U11" s="25">
        <f t="shared" si="0"/>
        <v>31</v>
      </c>
      <c r="V11" s="11"/>
      <c r="W11" s="36">
        <f t="shared" si="1"/>
        <v>-14</v>
      </c>
      <c r="X11" s="36">
        <f t="shared" si="1"/>
        <v>-2</v>
      </c>
      <c r="Y11" s="32">
        <f t="shared" si="2"/>
        <v>-16</v>
      </c>
      <c r="AA11" s="4" t="s">
        <v>2</v>
      </c>
      <c r="AB11" s="112" t="s">
        <v>13</v>
      </c>
      <c r="AC11" s="112"/>
      <c r="AD11" s="112"/>
      <c r="AE11" s="112"/>
    </row>
    <row r="12" spans="2:33" ht="24" thickBot="1" x14ac:dyDescent="0.4">
      <c r="B12" s="1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1"/>
      <c r="R12" s="63">
        <f>SUM(R6:R11)</f>
        <v>40</v>
      </c>
      <c r="S12" s="63">
        <f>SUM(S6:S11)</f>
        <v>39</v>
      </c>
      <c r="T12" s="64"/>
      <c r="U12" s="25">
        <f>SUM(U6:U11)</f>
        <v>174</v>
      </c>
      <c r="V12" s="11"/>
      <c r="W12" s="37"/>
      <c r="X12" s="37"/>
      <c r="Y12" s="12"/>
      <c r="AA12" s="115"/>
      <c r="AB12" s="116"/>
      <c r="AC12" s="116"/>
      <c r="AD12" s="116"/>
      <c r="AE12" s="117"/>
    </row>
    <row r="13" spans="2:33" ht="24" thickBot="1" x14ac:dyDescent="0.4">
      <c r="B13" s="10"/>
      <c r="C13" s="113" t="s">
        <v>22</v>
      </c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4"/>
      <c r="R13" s="63"/>
      <c r="S13" s="63"/>
      <c r="T13" s="64"/>
      <c r="U13" s="25"/>
      <c r="V13" s="11"/>
      <c r="W13" s="37"/>
      <c r="X13" s="37"/>
      <c r="Y13" s="12"/>
      <c r="AA13" s="1" t="s">
        <v>3</v>
      </c>
      <c r="AB13" s="112" t="s">
        <v>14</v>
      </c>
      <c r="AC13" s="112"/>
      <c r="AD13" s="112"/>
      <c r="AE13" s="112"/>
    </row>
    <row r="14" spans="2:33" ht="23.25" x14ac:dyDescent="0.35">
      <c r="B14" s="10" t="s">
        <v>1</v>
      </c>
      <c r="C14" s="94" t="s">
        <v>9</v>
      </c>
      <c r="D14" s="55" t="s">
        <v>3</v>
      </c>
      <c r="E14" s="55" t="s">
        <v>9</v>
      </c>
      <c r="F14" s="55" t="s">
        <v>9</v>
      </c>
      <c r="G14" s="55" t="s">
        <v>9</v>
      </c>
      <c r="H14" s="55" t="s">
        <v>3</v>
      </c>
      <c r="I14" s="55" t="s">
        <v>9</v>
      </c>
      <c r="J14" s="55" t="s">
        <v>3</v>
      </c>
      <c r="K14" s="55" t="s">
        <v>3</v>
      </c>
      <c r="L14" s="55" t="s">
        <v>2</v>
      </c>
      <c r="M14" s="55" t="s">
        <v>10</v>
      </c>
      <c r="N14" s="55" t="s">
        <v>9</v>
      </c>
      <c r="O14" s="55" t="s">
        <v>2</v>
      </c>
      <c r="P14" s="55" t="s">
        <v>3</v>
      </c>
      <c r="Q14" s="55" t="s">
        <v>2</v>
      </c>
      <c r="R14" s="56">
        <f t="shared" si="3"/>
        <v>7</v>
      </c>
      <c r="S14" s="57">
        <f t="shared" si="4"/>
        <v>4</v>
      </c>
      <c r="T14" s="57">
        <f t="shared" si="5"/>
        <v>11</v>
      </c>
      <c r="U14" s="25"/>
      <c r="V14" s="11"/>
      <c r="W14" s="37"/>
      <c r="X14" s="37"/>
      <c r="Y14" s="12"/>
    </row>
    <row r="15" spans="2:33" ht="23.25" x14ac:dyDescent="0.35">
      <c r="B15" s="95" t="s">
        <v>4</v>
      </c>
      <c r="C15" s="94" t="s">
        <v>10</v>
      </c>
      <c r="D15" s="55" t="s">
        <v>10</v>
      </c>
      <c r="E15" s="55" t="s">
        <v>9</v>
      </c>
      <c r="F15" s="55" t="s">
        <v>10</v>
      </c>
      <c r="G15" s="55" t="s">
        <v>2</v>
      </c>
      <c r="H15" s="55" t="s">
        <v>2</v>
      </c>
      <c r="I15" s="55" t="s">
        <v>9</v>
      </c>
      <c r="J15" s="55" t="s">
        <v>3</v>
      </c>
      <c r="K15" s="55" t="s">
        <v>10</v>
      </c>
      <c r="L15" s="55" t="s">
        <v>3</v>
      </c>
      <c r="M15" s="55" t="s">
        <v>10</v>
      </c>
      <c r="N15" s="55" t="s">
        <v>10</v>
      </c>
      <c r="O15" s="55" t="s">
        <v>9</v>
      </c>
      <c r="P15" s="59" t="s">
        <v>10</v>
      </c>
      <c r="Q15" s="59" t="s">
        <v>9</v>
      </c>
      <c r="R15" s="60">
        <f t="shared" si="3"/>
        <v>11</v>
      </c>
      <c r="S15" s="61">
        <f>COUNTIF(C15:Q15,"N")+COUNTIF(C15:Q15,"B")</f>
        <v>9</v>
      </c>
      <c r="T15" s="61">
        <f t="shared" si="5"/>
        <v>20</v>
      </c>
      <c r="U15" s="25"/>
      <c r="V15" s="11"/>
      <c r="W15" s="37"/>
      <c r="X15" s="37"/>
      <c r="Y15" s="12"/>
    </row>
    <row r="16" spans="2:33" ht="23.25" x14ac:dyDescent="0.35">
      <c r="B16" s="10" t="s">
        <v>5</v>
      </c>
      <c r="C16" s="94" t="s">
        <v>9</v>
      </c>
      <c r="D16" s="55" t="s">
        <v>9</v>
      </c>
      <c r="E16" s="55" t="s">
        <v>9</v>
      </c>
      <c r="F16" s="55" t="s">
        <v>2</v>
      </c>
      <c r="G16" s="55" t="s">
        <v>2</v>
      </c>
      <c r="H16" s="55" t="s">
        <v>2</v>
      </c>
      <c r="I16" s="55" t="s">
        <v>9</v>
      </c>
      <c r="J16" s="55" t="s">
        <v>3</v>
      </c>
      <c r="K16" s="55" t="s">
        <v>9</v>
      </c>
      <c r="L16" s="55" t="s">
        <v>2</v>
      </c>
      <c r="M16" s="55" t="s">
        <v>9</v>
      </c>
      <c r="N16" s="55" t="s">
        <v>2</v>
      </c>
      <c r="O16" s="59" t="s">
        <v>3</v>
      </c>
      <c r="P16" s="59" t="s">
        <v>2</v>
      </c>
      <c r="Q16" s="59" t="s">
        <v>2</v>
      </c>
      <c r="R16" s="62">
        <f t="shared" si="3"/>
        <v>6</v>
      </c>
      <c r="S16" s="63">
        <f t="shared" si="4"/>
        <v>7</v>
      </c>
      <c r="T16" s="64">
        <f t="shared" si="5"/>
        <v>13</v>
      </c>
      <c r="U16" s="25"/>
      <c r="V16" s="11"/>
      <c r="W16" s="37"/>
      <c r="X16" s="37"/>
      <c r="Y16" s="12"/>
      <c r="AG16" s="49"/>
    </row>
    <row r="17" spans="2:25" ht="23.25" x14ac:dyDescent="0.35">
      <c r="B17" s="95" t="s">
        <v>6</v>
      </c>
      <c r="C17" s="94" t="s">
        <v>2</v>
      </c>
      <c r="D17" s="55" t="s">
        <v>3</v>
      </c>
      <c r="E17" s="55" t="s">
        <v>2</v>
      </c>
      <c r="F17" s="55" t="s">
        <v>2</v>
      </c>
      <c r="G17" s="55" t="s">
        <v>2</v>
      </c>
      <c r="H17" s="55" t="s">
        <v>9</v>
      </c>
      <c r="I17" s="55" t="s">
        <v>9</v>
      </c>
      <c r="J17" s="55" t="s">
        <v>9</v>
      </c>
      <c r="K17" s="55" t="s">
        <v>3</v>
      </c>
      <c r="L17" s="59" t="s">
        <v>2</v>
      </c>
      <c r="M17" s="59" t="s">
        <v>3</v>
      </c>
      <c r="N17" s="59" t="s">
        <v>2</v>
      </c>
      <c r="O17" s="59" t="s">
        <v>2</v>
      </c>
      <c r="P17" s="59" t="s">
        <v>10</v>
      </c>
      <c r="Q17" s="59" t="s">
        <v>9</v>
      </c>
      <c r="R17" s="65">
        <f t="shared" si="3"/>
        <v>5</v>
      </c>
      <c r="S17" s="66">
        <f t="shared" si="4"/>
        <v>8</v>
      </c>
      <c r="T17" s="66">
        <f t="shared" si="5"/>
        <v>13</v>
      </c>
      <c r="U17" s="25"/>
      <c r="V17" s="11"/>
      <c r="W17" s="37"/>
      <c r="X17" s="37"/>
      <c r="Y17" s="12"/>
    </row>
    <row r="18" spans="2:25" ht="23.25" x14ac:dyDescent="0.35">
      <c r="B18" s="10" t="s">
        <v>7</v>
      </c>
      <c r="C18" s="94" t="s">
        <v>2</v>
      </c>
      <c r="D18" s="72" t="s">
        <v>9</v>
      </c>
      <c r="E18" s="55" t="s">
        <v>2</v>
      </c>
      <c r="F18" s="55" t="s">
        <v>2</v>
      </c>
      <c r="G18" s="55" t="s">
        <v>3</v>
      </c>
      <c r="H18" s="55" t="s">
        <v>9</v>
      </c>
      <c r="I18" s="55" t="s">
        <v>2</v>
      </c>
      <c r="J18" s="55" t="s">
        <v>2</v>
      </c>
      <c r="K18" s="55" t="s">
        <v>10</v>
      </c>
      <c r="L18" s="59" t="s">
        <v>10</v>
      </c>
      <c r="M18" s="59" t="s">
        <v>10</v>
      </c>
      <c r="N18" s="59" t="s">
        <v>10</v>
      </c>
      <c r="O18" s="59" t="s">
        <v>10</v>
      </c>
      <c r="P18" s="59" t="s">
        <v>10</v>
      </c>
      <c r="Q18" s="59" t="s">
        <v>10</v>
      </c>
      <c r="R18" s="67">
        <f t="shared" si="3"/>
        <v>9</v>
      </c>
      <c r="S18" s="68">
        <f t="shared" si="4"/>
        <v>12</v>
      </c>
      <c r="T18" s="68">
        <f t="shared" si="5"/>
        <v>21</v>
      </c>
      <c r="U18" s="25"/>
      <c r="V18" s="11"/>
      <c r="W18" s="37"/>
      <c r="X18" s="37"/>
      <c r="Y18" s="12"/>
    </row>
    <row r="19" spans="2:25" ht="23.25" x14ac:dyDescent="0.35">
      <c r="B19" s="10" t="s">
        <v>8</v>
      </c>
      <c r="C19" s="94" t="s">
        <v>10</v>
      </c>
      <c r="D19" s="55" t="s">
        <v>10</v>
      </c>
      <c r="E19" s="55" t="s">
        <v>2</v>
      </c>
      <c r="F19" s="55" t="s">
        <v>2</v>
      </c>
      <c r="G19" s="55" t="s">
        <v>9</v>
      </c>
      <c r="H19" s="55" t="s">
        <v>3</v>
      </c>
      <c r="I19" s="55" t="s">
        <v>2</v>
      </c>
      <c r="J19" s="55" t="s">
        <v>10</v>
      </c>
      <c r="K19" s="55" t="s">
        <v>2</v>
      </c>
      <c r="L19" s="59" t="s">
        <v>10</v>
      </c>
      <c r="M19" s="59" t="s">
        <v>2</v>
      </c>
      <c r="N19" s="59" t="s">
        <v>9</v>
      </c>
      <c r="O19" s="59" t="s">
        <v>2</v>
      </c>
      <c r="P19" s="59" t="s">
        <v>2</v>
      </c>
      <c r="Q19" s="59" t="s">
        <v>3</v>
      </c>
      <c r="R19" s="69">
        <f t="shared" si="3"/>
        <v>6</v>
      </c>
      <c r="S19" s="70">
        <f t="shared" si="4"/>
        <v>11</v>
      </c>
      <c r="T19" s="71">
        <f t="shared" si="5"/>
        <v>17</v>
      </c>
      <c r="U19" s="25"/>
      <c r="V19" s="11"/>
      <c r="W19" s="37"/>
      <c r="X19" s="37"/>
      <c r="Y19" s="12"/>
    </row>
    <row r="20" spans="2:25" ht="24" thickBot="1" x14ac:dyDescent="0.4">
      <c r="B20" s="10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1"/>
      <c r="R20" s="63">
        <f>SUM(R14:R19)</f>
        <v>44</v>
      </c>
      <c r="S20" s="63">
        <f>SUM(S14:S19)</f>
        <v>51</v>
      </c>
      <c r="T20" s="64"/>
      <c r="U20" s="25"/>
      <c r="V20" s="11"/>
      <c r="W20" s="37"/>
      <c r="X20" s="37"/>
      <c r="Y20" s="12"/>
    </row>
    <row r="21" spans="2:25" ht="24" thickBot="1" x14ac:dyDescent="0.4">
      <c r="B21" s="10"/>
      <c r="C21" s="113" t="s">
        <v>23</v>
      </c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4"/>
      <c r="R21" s="63"/>
      <c r="S21" s="63"/>
      <c r="T21" s="64"/>
      <c r="U21" s="29" t="s">
        <v>18</v>
      </c>
      <c r="V21" s="11"/>
      <c r="W21" s="37"/>
      <c r="X21" s="37"/>
      <c r="Y21" s="12"/>
    </row>
    <row r="22" spans="2:25" ht="23.25" x14ac:dyDescent="0.35">
      <c r="B22" s="10" t="s">
        <v>1</v>
      </c>
      <c r="C22" s="94" t="s">
        <v>3</v>
      </c>
      <c r="D22" s="55" t="s">
        <v>3</v>
      </c>
      <c r="E22" s="55" t="s">
        <v>2</v>
      </c>
      <c r="F22" s="55" t="s">
        <v>3</v>
      </c>
      <c r="G22" s="55" t="s">
        <v>3</v>
      </c>
      <c r="H22" s="55" t="s">
        <v>3</v>
      </c>
      <c r="I22" s="55" t="s">
        <v>3</v>
      </c>
      <c r="J22" s="55" t="s">
        <v>3</v>
      </c>
      <c r="K22" s="55" t="s">
        <v>3</v>
      </c>
      <c r="L22" s="55" t="s">
        <v>3</v>
      </c>
      <c r="M22" s="55" t="s">
        <v>3</v>
      </c>
      <c r="N22" s="55" t="s">
        <v>3</v>
      </c>
      <c r="O22" s="55" t="s">
        <v>3</v>
      </c>
      <c r="P22" s="55" t="s">
        <v>3</v>
      </c>
      <c r="Q22" s="55" t="s">
        <v>3</v>
      </c>
      <c r="R22" s="56">
        <f t="shared" si="3"/>
        <v>0</v>
      </c>
      <c r="S22" s="57">
        <f t="shared" si="4"/>
        <v>1</v>
      </c>
      <c r="T22" s="57">
        <f t="shared" si="5"/>
        <v>1</v>
      </c>
      <c r="U22" s="25">
        <f t="shared" ref="U22:U27" si="6">T22+T30</f>
        <v>5</v>
      </c>
      <c r="V22" s="11"/>
      <c r="W22" s="37">
        <f t="shared" ref="W22:X25" si="7">-W6</f>
        <v>-8</v>
      </c>
      <c r="X22" s="37">
        <f t="shared" si="7"/>
        <v>-6</v>
      </c>
      <c r="Y22" s="32">
        <f t="shared" ref="Y22:Y27" si="8">U22-U6</f>
        <v>-14</v>
      </c>
    </row>
    <row r="23" spans="2:25" ht="23.25" x14ac:dyDescent="0.35">
      <c r="B23" s="95" t="s">
        <v>4</v>
      </c>
      <c r="C23" s="94" t="s">
        <v>10</v>
      </c>
      <c r="D23" s="55" t="s">
        <v>10</v>
      </c>
      <c r="E23" s="55" t="s">
        <v>9</v>
      </c>
      <c r="F23" s="55" t="s">
        <v>2</v>
      </c>
      <c r="G23" s="55" t="s">
        <v>10</v>
      </c>
      <c r="H23" s="55" t="s">
        <v>10</v>
      </c>
      <c r="I23" s="55" t="s">
        <v>10</v>
      </c>
      <c r="J23" s="55" t="s">
        <v>10</v>
      </c>
      <c r="K23" s="55" t="s">
        <v>10</v>
      </c>
      <c r="L23" s="55" t="s">
        <v>2</v>
      </c>
      <c r="M23" s="55" t="s">
        <v>10</v>
      </c>
      <c r="N23" s="55" t="s">
        <v>2</v>
      </c>
      <c r="O23" s="55" t="s">
        <v>10</v>
      </c>
      <c r="P23" s="59" t="s">
        <v>10</v>
      </c>
      <c r="Q23" s="59" t="s">
        <v>2</v>
      </c>
      <c r="R23" s="60">
        <f t="shared" si="3"/>
        <v>11</v>
      </c>
      <c r="S23" s="61">
        <f t="shared" si="4"/>
        <v>14</v>
      </c>
      <c r="T23" s="61">
        <f t="shared" si="5"/>
        <v>25</v>
      </c>
      <c r="U23" s="25">
        <f t="shared" si="6"/>
        <v>50</v>
      </c>
      <c r="V23" s="11"/>
      <c r="W23" s="37">
        <f t="shared" si="7"/>
        <v>2</v>
      </c>
      <c r="X23" s="37">
        <f t="shared" si="7"/>
        <v>13</v>
      </c>
      <c r="Y23" s="32">
        <f t="shared" si="8"/>
        <v>15</v>
      </c>
    </row>
    <row r="24" spans="2:25" ht="23.25" x14ac:dyDescent="0.35">
      <c r="B24" s="10" t="s">
        <v>5</v>
      </c>
      <c r="C24" s="94" t="s">
        <v>10</v>
      </c>
      <c r="D24" s="55" t="s">
        <v>10</v>
      </c>
      <c r="E24" s="55" t="s">
        <v>9</v>
      </c>
      <c r="F24" s="55" t="s">
        <v>10</v>
      </c>
      <c r="G24" s="55" t="s">
        <v>9</v>
      </c>
      <c r="H24" s="55" t="s">
        <v>9</v>
      </c>
      <c r="I24" s="55" t="s">
        <v>9</v>
      </c>
      <c r="J24" s="55" t="s">
        <v>10</v>
      </c>
      <c r="K24" s="55" t="s">
        <v>10</v>
      </c>
      <c r="L24" s="55" t="s">
        <v>3</v>
      </c>
      <c r="M24" s="55" t="s">
        <v>9</v>
      </c>
      <c r="N24" s="55" t="s">
        <v>9</v>
      </c>
      <c r="O24" s="59" t="s">
        <v>9</v>
      </c>
      <c r="P24" s="59" t="s">
        <v>9</v>
      </c>
      <c r="Q24" s="59" t="s">
        <v>10</v>
      </c>
      <c r="R24" s="62">
        <f t="shared" si="3"/>
        <v>14</v>
      </c>
      <c r="S24" s="63">
        <f t="shared" si="4"/>
        <v>6</v>
      </c>
      <c r="T24" s="64">
        <f t="shared" si="5"/>
        <v>20</v>
      </c>
      <c r="U24" s="25">
        <f t="shared" si="6"/>
        <v>35</v>
      </c>
      <c r="V24" s="11"/>
      <c r="W24" s="37">
        <f t="shared" si="7"/>
        <v>11</v>
      </c>
      <c r="X24" s="37">
        <f t="shared" si="7"/>
        <v>-1</v>
      </c>
      <c r="Y24" s="32">
        <f t="shared" si="8"/>
        <v>10</v>
      </c>
    </row>
    <row r="25" spans="2:25" ht="23.25" x14ac:dyDescent="0.35">
      <c r="B25" s="95" t="s">
        <v>6</v>
      </c>
      <c r="C25" s="94" t="s">
        <v>3</v>
      </c>
      <c r="D25" s="55" t="s">
        <v>9</v>
      </c>
      <c r="E25" s="55" t="s">
        <v>3</v>
      </c>
      <c r="F25" s="55" t="s">
        <v>10</v>
      </c>
      <c r="G25" s="55" t="s">
        <v>2</v>
      </c>
      <c r="H25" s="55" t="s">
        <v>3</v>
      </c>
      <c r="I25" s="55" t="s">
        <v>10</v>
      </c>
      <c r="J25" s="55" t="s">
        <v>9</v>
      </c>
      <c r="K25" s="55" t="s">
        <v>2</v>
      </c>
      <c r="L25" s="59" t="s">
        <v>3</v>
      </c>
      <c r="M25" s="59" t="s">
        <v>3</v>
      </c>
      <c r="N25" s="59" t="s">
        <v>2</v>
      </c>
      <c r="O25" s="59" t="s">
        <v>3</v>
      </c>
      <c r="P25" s="59" t="s">
        <v>2</v>
      </c>
      <c r="Q25" s="59" t="s">
        <v>2</v>
      </c>
      <c r="R25" s="65">
        <f t="shared" si="3"/>
        <v>4</v>
      </c>
      <c r="S25" s="66">
        <f t="shared" si="4"/>
        <v>7</v>
      </c>
      <c r="T25" s="66">
        <f t="shared" si="5"/>
        <v>11</v>
      </c>
      <c r="U25" s="25">
        <f t="shared" si="6"/>
        <v>19</v>
      </c>
      <c r="V25" s="11"/>
      <c r="W25" s="37">
        <f t="shared" si="7"/>
        <v>-1</v>
      </c>
      <c r="X25" s="37">
        <f t="shared" si="7"/>
        <v>-4</v>
      </c>
      <c r="Y25" s="32">
        <f t="shared" si="8"/>
        <v>-5</v>
      </c>
    </row>
    <row r="26" spans="2:25" ht="23.25" x14ac:dyDescent="0.35">
      <c r="B26" s="10" t="s">
        <v>7</v>
      </c>
      <c r="C26" s="94" t="s">
        <v>10</v>
      </c>
      <c r="D26" s="72" t="s">
        <v>10</v>
      </c>
      <c r="E26" s="55" t="s">
        <v>10</v>
      </c>
      <c r="F26" s="55" t="s">
        <v>10</v>
      </c>
      <c r="G26" s="55" t="s">
        <v>10</v>
      </c>
      <c r="H26" s="55" t="s">
        <v>10</v>
      </c>
      <c r="I26" s="55" t="s">
        <v>3</v>
      </c>
      <c r="J26" s="55" t="s">
        <v>9</v>
      </c>
      <c r="K26" s="55" t="s">
        <v>9</v>
      </c>
      <c r="L26" s="59" t="s">
        <v>9</v>
      </c>
      <c r="M26" s="59" t="s">
        <v>9</v>
      </c>
      <c r="N26" s="59" t="s">
        <v>10</v>
      </c>
      <c r="O26" s="59" t="s">
        <v>10</v>
      </c>
      <c r="P26" s="59" t="s">
        <v>10</v>
      </c>
      <c r="Q26" s="59" t="s">
        <v>10</v>
      </c>
      <c r="R26" s="67">
        <f t="shared" si="3"/>
        <v>14</v>
      </c>
      <c r="S26" s="68">
        <f t="shared" si="4"/>
        <v>10</v>
      </c>
      <c r="T26" s="68">
        <f t="shared" si="5"/>
        <v>24</v>
      </c>
      <c r="U26" s="25">
        <f t="shared" si="6"/>
        <v>38</v>
      </c>
      <c r="V26" s="11"/>
      <c r="W26" s="37">
        <f t="shared" ref="W26:X26" si="9">-W10</f>
        <v>5</v>
      </c>
      <c r="X26" s="37">
        <f t="shared" si="9"/>
        <v>-7</v>
      </c>
      <c r="Y26" s="32">
        <f t="shared" si="8"/>
        <v>-2</v>
      </c>
    </row>
    <row r="27" spans="2:25" ht="23.25" x14ac:dyDescent="0.35">
      <c r="B27" s="10" t="s">
        <v>8</v>
      </c>
      <c r="C27" s="94" t="s">
        <v>2</v>
      </c>
      <c r="D27" s="55" t="s">
        <v>2</v>
      </c>
      <c r="E27" s="55" t="s">
        <v>10</v>
      </c>
      <c r="F27" s="55" t="s">
        <v>10</v>
      </c>
      <c r="G27" s="55" t="s">
        <v>10</v>
      </c>
      <c r="H27" s="55" t="s">
        <v>10</v>
      </c>
      <c r="I27" s="55" t="s">
        <v>10</v>
      </c>
      <c r="J27" s="55" t="s">
        <v>10</v>
      </c>
      <c r="K27" s="55" t="s">
        <v>9</v>
      </c>
      <c r="L27" s="59" t="s">
        <v>10</v>
      </c>
      <c r="M27" s="59" t="s">
        <v>2</v>
      </c>
      <c r="N27" s="59" t="s">
        <v>10</v>
      </c>
      <c r="O27" s="59" t="s">
        <v>10</v>
      </c>
      <c r="P27" s="59" t="s">
        <v>10</v>
      </c>
      <c r="Q27" s="59" t="s">
        <v>10</v>
      </c>
      <c r="R27" s="69">
        <f t="shared" si="3"/>
        <v>12</v>
      </c>
      <c r="S27" s="70">
        <f t="shared" si="4"/>
        <v>14</v>
      </c>
      <c r="T27" s="73">
        <f t="shared" si="5"/>
        <v>26</v>
      </c>
      <c r="U27" s="26">
        <f t="shared" si="6"/>
        <v>47</v>
      </c>
      <c r="V27" s="16"/>
      <c r="W27" s="37">
        <f>-W11</f>
        <v>14</v>
      </c>
      <c r="X27" s="37">
        <f>-X11</f>
        <v>2</v>
      </c>
      <c r="Y27" s="33">
        <f t="shared" si="8"/>
        <v>16</v>
      </c>
    </row>
    <row r="28" spans="2:25" ht="24" thickBot="1" x14ac:dyDescent="0.4">
      <c r="B28" s="10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1"/>
      <c r="R28" s="63">
        <f>SUM(R22:R27)</f>
        <v>55</v>
      </c>
      <c r="S28" s="63">
        <f>SUM(S22:S27)</f>
        <v>52</v>
      </c>
      <c r="T28" s="74"/>
      <c r="U28" s="23">
        <f>SUM(U22:U27)</f>
        <v>194</v>
      </c>
      <c r="V28" s="17"/>
      <c r="W28" s="38"/>
      <c r="X28" s="38"/>
      <c r="Y28" s="18"/>
    </row>
    <row r="29" spans="2:25" ht="24" thickBot="1" x14ac:dyDescent="0.4">
      <c r="B29" s="10"/>
      <c r="C29" s="113" t="s">
        <v>24</v>
      </c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4"/>
      <c r="R29" s="63"/>
      <c r="S29" s="63"/>
      <c r="T29" s="75"/>
      <c r="U29" s="27"/>
      <c r="V29" s="21"/>
      <c r="W29" s="39"/>
      <c r="X29" s="39"/>
      <c r="Y29" s="22"/>
    </row>
    <row r="30" spans="2:25" ht="23.25" x14ac:dyDescent="0.35">
      <c r="B30" s="10" t="s">
        <v>1</v>
      </c>
      <c r="C30" s="94" t="s">
        <v>9</v>
      </c>
      <c r="D30" s="55" t="s">
        <v>9</v>
      </c>
      <c r="E30" s="55" t="s">
        <v>2</v>
      </c>
      <c r="F30" s="55" t="s">
        <v>2</v>
      </c>
      <c r="G30" s="55" t="s">
        <v>3</v>
      </c>
      <c r="H30" s="55" t="s">
        <v>3</v>
      </c>
      <c r="I30" s="55" t="s">
        <v>3</v>
      </c>
      <c r="J30" s="55" t="s">
        <v>3</v>
      </c>
      <c r="K30" s="55" t="s">
        <v>3</v>
      </c>
      <c r="L30" s="55" t="s">
        <v>3</v>
      </c>
      <c r="M30" s="55" t="s">
        <v>3</v>
      </c>
      <c r="N30" s="55" t="s">
        <v>3</v>
      </c>
      <c r="O30" s="55" t="s">
        <v>3</v>
      </c>
      <c r="P30" s="55" t="s">
        <v>3</v>
      </c>
      <c r="Q30" s="55" t="s">
        <v>3</v>
      </c>
      <c r="R30" s="56">
        <f t="shared" si="3"/>
        <v>2</v>
      </c>
      <c r="S30" s="57">
        <f t="shared" si="4"/>
        <v>2</v>
      </c>
      <c r="T30" s="57">
        <f t="shared" si="5"/>
        <v>4</v>
      </c>
      <c r="U30" s="23"/>
      <c r="V30" s="17"/>
      <c r="W30" s="38"/>
      <c r="X30" s="38"/>
      <c r="Y30" s="18"/>
    </row>
    <row r="31" spans="2:25" ht="23.25" x14ac:dyDescent="0.35">
      <c r="B31" s="95" t="s">
        <v>4</v>
      </c>
      <c r="C31" s="94" t="s">
        <v>10</v>
      </c>
      <c r="D31" s="55" t="s">
        <v>10</v>
      </c>
      <c r="E31" s="55" t="s">
        <v>10</v>
      </c>
      <c r="F31" s="55" t="s">
        <v>2</v>
      </c>
      <c r="G31" s="55" t="s">
        <v>2</v>
      </c>
      <c r="H31" s="55" t="s">
        <v>10</v>
      </c>
      <c r="I31" s="55" t="s">
        <v>10</v>
      </c>
      <c r="J31" s="55" t="s">
        <v>10</v>
      </c>
      <c r="K31" s="55" t="s">
        <v>10</v>
      </c>
      <c r="L31" s="55" t="s">
        <v>10</v>
      </c>
      <c r="M31" s="55" t="s">
        <v>2</v>
      </c>
      <c r="N31" s="55" t="s">
        <v>10</v>
      </c>
      <c r="O31" s="55" t="s">
        <v>2</v>
      </c>
      <c r="P31" s="55" t="s">
        <v>10</v>
      </c>
      <c r="Q31" s="55" t="s">
        <v>2</v>
      </c>
      <c r="R31" s="60">
        <f t="shared" si="3"/>
        <v>10</v>
      </c>
      <c r="S31" s="61">
        <f t="shared" si="4"/>
        <v>15</v>
      </c>
      <c r="T31" s="61">
        <f t="shared" si="5"/>
        <v>25</v>
      </c>
      <c r="U31" s="23"/>
      <c r="V31" s="17"/>
      <c r="W31" s="38"/>
      <c r="X31" s="38"/>
      <c r="Y31" s="18"/>
    </row>
    <row r="32" spans="2:25" ht="23.25" x14ac:dyDescent="0.35">
      <c r="B32" s="10" t="s">
        <v>5</v>
      </c>
      <c r="C32" s="94" t="s">
        <v>10</v>
      </c>
      <c r="D32" s="55" t="s">
        <v>9</v>
      </c>
      <c r="E32" s="55" t="s">
        <v>3</v>
      </c>
      <c r="F32" s="55" t="s">
        <v>9</v>
      </c>
      <c r="G32" s="55" t="s">
        <v>9</v>
      </c>
      <c r="H32" s="55" t="s">
        <v>10</v>
      </c>
      <c r="I32" s="55" t="s">
        <v>10</v>
      </c>
      <c r="J32" s="55" t="s">
        <v>9</v>
      </c>
      <c r="K32" s="55" t="s">
        <v>10</v>
      </c>
      <c r="L32" s="59" t="s">
        <v>3</v>
      </c>
      <c r="M32" s="59" t="s">
        <v>9</v>
      </c>
      <c r="N32" s="59" t="s">
        <v>3</v>
      </c>
      <c r="O32" s="59" t="s">
        <v>9</v>
      </c>
      <c r="P32" s="59" t="s">
        <v>3</v>
      </c>
      <c r="Q32" s="59" t="s">
        <v>2</v>
      </c>
      <c r="R32" s="62">
        <f t="shared" si="3"/>
        <v>10</v>
      </c>
      <c r="S32" s="63">
        <f t="shared" si="4"/>
        <v>5</v>
      </c>
      <c r="T32" s="64">
        <f t="shared" si="5"/>
        <v>15</v>
      </c>
      <c r="U32" s="23"/>
      <c r="V32" s="17"/>
      <c r="W32" s="38"/>
      <c r="X32" s="38"/>
      <c r="Y32" s="18"/>
    </row>
    <row r="33" spans="2:25" ht="23.25" x14ac:dyDescent="0.35">
      <c r="B33" s="95" t="s">
        <v>6</v>
      </c>
      <c r="C33" s="94" t="s">
        <v>3</v>
      </c>
      <c r="D33" s="55" t="s">
        <v>9</v>
      </c>
      <c r="E33" s="55" t="s">
        <v>3</v>
      </c>
      <c r="F33" s="55" t="s">
        <v>9</v>
      </c>
      <c r="G33" s="55" t="s">
        <v>3</v>
      </c>
      <c r="H33" s="55" t="s">
        <v>9</v>
      </c>
      <c r="I33" s="55" t="s">
        <v>10</v>
      </c>
      <c r="J33" s="55" t="s">
        <v>9</v>
      </c>
      <c r="K33" s="55" t="s">
        <v>3</v>
      </c>
      <c r="L33" s="59" t="s">
        <v>9</v>
      </c>
      <c r="M33" s="59" t="s">
        <v>3</v>
      </c>
      <c r="N33" s="59" t="s">
        <v>3</v>
      </c>
      <c r="O33" s="59" t="s">
        <v>9</v>
      </c>
      <c r="P33" s="59" t="s">
        <v>3</v>
      </c>
      <c r="Q33" s="59" t="s">
        <v>3</v>
      </c>
      <c r="R33" s="65">
        <f t="shared" si="3"/>
        <v>7</v>
      </c>
      <c r="S33" s="66">
        <f t="shared" si="4"/>
        <v>1</v>
      </c>
      <c r="T33" s="66">
        <f t="shared" si="5"/>
        <v>8</v>
      </c>
      <c r="U33" s="23"/>
      <c r="V33" s="17"/>
      <c r="W33" s="38"/>
      <c r="X33" s="38"/>
      <c r="Y33" s="18"/>
    </row>
    <row r="34" spans="2:25" ht="23.25" x14ac:dyDescent="0.35">
      <c r="B34" s="10" t="s">
        <v>7</v>
      </c>
      <c r="C34" s="94" t="s">
        <v>9</v>
      </c>
      <c r="D34" s="55" t="s">
        <v>2</v>
      </c>
      <c r="E34" s="55" t="s">
        <v>10</v>
      </c>
      <c r="F34" s="55" t="s">
        <v>2</v>
      </c>
      <c r="G34" s="55" t="s">
        <v>3</v>
      </c>
      <c r="H34" s="59" t="s">
        <v>3</v>
      </c>
      <c r="I34" s="59" t="s">
        <v>9</v>
      </c>
      <c r="J34" s="55" t="s">
        <v>3</v>
      </c>
      <c r="K34" s="59" t="s">
        <v>9</v>
      </c>
      <c r="L34" s="59" t="s">
        <v>9</v>
      </c>
      <c r="M34" s="59" t="s">
        <v>9</v>
      </c>
      <c r="N34" s="59" t="s">
        <v>9</v>
      </c>
      <c r="O34" s="59" t="s">
        <v>10</v>
      </c>
      <c r="P34" s="59" t="s">
        <v>9</v>
      </c>
      <c r="Q34" s="59" t="s">
        <v>9</v>
      </c>
      <c r="R34" s="67">
        <f t="shared" si="3"/>
        <v>10</v>
      </c>
      <c r="S34" s="68">
        <f t="shared" si="4"/>
        <v>4</v>
      </c>
      <c r="T34" s="68">
        <f t="shared" si="5"/>
        <v>14</v>
      </c>
      <c r="U34" s="23"/>
      <c r="V34" s="17"/>
      <c r="W34" s="38"/>
      <c r="X34" s="38"/>
      <c r="Y34" s="18"/>
    </row>
    <row r="35" spans="2:25" ht="24" thickBot="1" x14ac:dyDescent="0.4">
      <c r="B35" s="96" t="s">
        <v>8</v>
      </c>
      <c r="C35" s="94" t="s">
        <v>10</v>
      </c>
      <c r="D35" s="55" t="s">
        <v>10</v>
      </c>
      <c r="E35" s="55" t="s">
        <v>3</v>
      </c>
      <c r="F35" s="55" t="s">
        <v>10</v>
      </c>
      <c r="G35" s="55" t="s">
        <v>9</v>
      </c>
      <c r="H35" s="59" t="s">
        <v>10</v>
      </c>
      <c r="I35" s="59" t="s">
        <v>10</v>
      </c>
      <c r="J35" s="55" t="s">
        <v>10</v>
      </c>
      <c r="K35" s="59" t="s">
        <v>10</v>
      </c>
      <c r="L35" s="59" t="s">
        <v>9</v>
      </c>
      <c r="M35" s="59" t="s">
        <v>10</v>
      </c>
      <c r="N35" s="59" t="s">
        <v>9</v>
      </c>
      <c r="O35" s="59" t="s">
        <v>3</v>
      </c>
      <c r="P35" s="59" t="s">
        <v>9</v>
      </c>
      <c r="Q35" s="59" t="s">
        <v>9</v>
      </c>
      <c r="R35" s="69">
        <f t="shared" si="3"/>
        <v>13</v>
      </c>
      <c r="S35" s="76">
        <f t="shared" si="4"/>
        <v>8</v>
      </c>
      <c r="T35" s="77">
        <f t="shared" si="5"/>
        <v>21</v>
      </c>
      <c r="U35" s="23"/>
      <c r="V35" s="17"/>
      <c r="W35" s="38"/>
      <c r="X35" s="38"/>
      <c r="Y35" s="18"/>
    </row>
    <row r="36" spans="2:25" ht="24" thickBot="1" x14ac:dyDescent="0.4">
      <c r="B36" s="50"/>
      <c r="C36" s="78"/>
      <c r="D36" s="78"/>
      <c r="E36" s="78"/>
      <c r="F36" s="78"/>
      <c r="G36" s="78"/>
      <c r="H36" s="79"/>
      <c r="I36" s="79"/>
      <c r="J36" s="78"/>
      <c r="K36" s="79"/>
      <c r="L36" s="79"/>
      <c r="M36" s="79"/>
      <c r="N36" s="79"/>
      <c r="O36" s="79"/>
      <c r="P36" s="79"/>
      <c r="Q36" s="79"/>
      <c r="R36" s="109">
        <f>SUM(R30:R35)</f>
        <v>52</v>
      </c>
      <c r="S36" s="110">
        <f>SUM(S30:S35)</f>
        <v>35</v>
      </c>
      <c r="T36" s="82"/>
      <c r="U36" s="51"/>
      <c r="V36" s="52"/>
      <c r="W36" s="53"/>
      <c r="X36" s="53"/>
      <c r="Y36" s="54"/>
    </row>
    <row r="37" spans="2:25" ht="24" thickBot="1" x14ac:dyDescent="0.4"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118" t="s">
        <v>15</v>
      </c>
      <c r="Q37" s="119"/>
      <c r="R37" s="111">
        <f>SUM(R6:R11,R14:R19,R22:R27,R30:R35)</f>
        <v>191</v>
      </c>
      <c r="S37" s="85">
        <f>SUM(S6:S11,S14:S19,S22:S27,S30:S35)</f>
        <v>177</v>
      </c>
      <c r="T37" s="86"/>
      <c r="U37" s="30"/>
      <c r="V37" s="19"/>
      <c r="W37" s="40"/>
      <c r="X37" s="40"/>
      <c r="Y37" s="20"/>
    </row>
    <row r="40" spans="2:25" x14ac:dyDescent="0.25">
      <c r="B40" s="3"/>
    </row>
    <row r="41" spans="2:25" x14ac:dyDescent="0.25">
      <c r="B41" s="3"/>
    </row>
    <row r="42" spans="2:25" x14ac:dyDescent="0.25">
      <c r="B42" s="3"/>
    </row>
    <row r="43" spans="2:25" x14ac:dyDescent="0.25">
      <c r="B43" s="3"/>
    </row>
    <row r="44" spans="2:25" x14ac:dyDescent="0.25">
      <c r="B44" s="3"/>
    </row>
    <row r="45" spans="2:25" x14ac:dyDescent="0.25">
      <c r="B45" s="3"/>
    </row>
  </sheetData>
  <mergeCells count="15">
    <mergeCell ref="AA12:AE12"/>
    <mergeCell ref="AB13:AE13"/>
    <mergeCell ref="P37:Q37"/>
    <mergeCell ref="C12:Q12"/>
    <mergeCell ref="C20:Q20"/>
    <mergeCell ref="C28:Q28"/>
    <mergeCell ref="C13:Q13"/>
    <mergeCell ref="C21:Q21"/>
    <mergeCell ref="C29:Q29"/>
    <mergeCell ref="AB11:AE11"/>
    <mergeCell ref="C4:Q4"/>
    <mergeCell ref="AB7:AE7"/>
    <mergeCell ref="AA8:AE8"/>
    <mergeCell ref="AB9:AE9"/>
    <mergeCell ref="AA10:AE10"/>
  </mergeCells>
  <phoneticPr fontId="12" type="noConversion"/>
  <conditionalFormatting sqref="C14:Q19 C30:Q36 C6:Q11 C22:Q27">
    <cfRule type="containsText" dxfId="61" priority="487" operator="containsText" text="N">
      <formula>NOT(ISERROR(SEARCH("N",C6)))</formula>
    </cfRule>
    <cfRule type="containsText" dxfId="60" priority="488" operator="containsText" text="O">
      <formula>NOT(ISERROR(SEARCH("O",C6)))</formula>
    </cfRule>
    <cfRule type="containsText" dxfId="59" priority="489" operator="containsText" text="C">
      <formula>NOT(ISERROR(SEARCH("C",C6)))</formula>
    </cfRule>
  </conditionalFormatting>
  <conditionalFormatting sqref="C14:Q19 C30:Q36 C6:Q11 C22:Q27">
    <cfRule type="containsText" dxfId="58" priority="471" operator="containsText" text="B">
      <formula>NOT(ISERROR(SEARCH("B",C6)))</formula>
    </cfRule>
  </conditionalFormatting>
  <conditionalFormatting sqref="O17 E33 C6:Q11">
    <cfRule type="containsText" dxfId="57" priority="61" operator="containsText" text="C">
      <formula>NOT(ISERROR(SEARCH("C",C6)))</formula>
    </cfRule>
    <cfRule type="expression" priority="62">
      <formula>$AA$13</formula>
    </cfRule>
  </conditionalFormatting>
  <conditionalFormatting sqref="Y6:Y11 Y22:Y27">
    <cfRule type="cellIs" dxfId="56" priority="473" operator="greaterThan">
      <formula>0</formula>
    </cfRule>
  </conditionalFormatting>
  <conditionalFormatting sqref="AA9">
    <cfRule type="containsText" dxfId="55" priority="477" operator="containsText" text="N">
      <formula>NOT(ISERROR(SEARCH("N",AA9)))</formula>
    </cfRule>
    <cfRule type="containsText" dxfId="54" priority="478" operator="containsText" text="O">
      <formula>NOT(ISERROR(SEARCH("O",AA9)))</formula>
    </cfRule>
    <cfRule type="containsText" dxfId="53" priority="479" operator="containsText" text="C">
      <formula>NOT(ISERROR(SEARCH("C",AA9)))</formula>
    </cfRule>
    <cfRule type="expression" priority="481">
      <formula>$AA$13</formula>
    </cfRule>
  </conditionalFormatting>
  <conditionalFormatting sqref="AA11">
    <cfRule type="containsText" dxfId="52" priority="482" operator="containsText" text="N">
      <formula>NOT(ISERROR(SEARCH("N",AA11)))</formula>
    </cfRule>
    <cfRule type="containsText" dxfId="51" priority="483" operator="containsText" text="O">
      <formula>NOT(ISERROR(SEARCH("O",AA11)))</formula>
    </cfRule>
    <cfRule type="containsText" dxfId="50" priority="484" operator="containsText" text="C">
      <formula>NOT(ISERROR(SEARCH("C",AA11)))</formula>
    </cfRule>
    <cfRule type="expression" priority="486">
      <formula>$AA$13</formula>
    </cfRule>
  </conditionalFormatting>
  <conditionalFormatting sqref="AA13">
    <cfRule type="containsText" dxfId="49" priority="474" operator="containsText" text="N">
      <formula>NOT(ISERROR(SEARCH("N",AA13)))</formula>
    </cfRule>
    <cfRule type="containsText" dxfId="48" priority="475" operator="containsText" text="O">
      <formula>NOT(ISERROR(SEARCH("O",AA13)))</formula>
    </cfRule>
    <cfRule type="containsText" dxfId="47" priority="476" operator="containsText" text="B">
      <formula>NOT(ISERROR(SEARCH("B",AA13)))</formula>
    </cfRule>
  </conditionalFormatting>
  <conditionalFormatting sqref="O25">
    <cfRule type="containsText" dxfId="0" priority="1" operator="containsText" text="C">
      <formula>NOT(ISERROR(SEARCH("C",O25)))</formula>
    </cfRule>
    <cfRule type="expression" priority="2">
      <formula>$AA$13</formula>
    </cfRule>
  </conditionalFormatting>
  <pageMargins left="0.25" right="0.25" top="0.75" bottom="0.75" header="0.3" footer="0.3"/>
  <pageSetup scale="69" orientation="landscape" horizontalDpi="4294967295" verticalDpi="4294967295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AE61"/>
  <sheetViews>
    <sheetView topLeftCell="F1" workbookViewId="0">
      <selection activeCell="C48" sqref="C48"/>
    </sheetView>
  </sheetViews>
  <sheetFormatPr defaultColWidth="42.5703125" defaultRowHeight="15" x14ac:dyDescent="0.25"/>
  <cols>
    <col min="1" max="1" width="2" bestFit="1" customWidth="1"/>
    <col min="2" max="2" width="30.7109375" bestFit="1" customWidth="1"/>
    <col min="3" max="17" width="10.140625" bestFit="1" customWidth="1"/>
    <col min="18" max="18" width="16.42578125" bestFit="1" customWidth="1"/>
    <col min="19" max="19" width="11.5703125" bestFit="1" customWidth="1"/>
    <col min="20" max="20" width="6.5703125" bestFit="1" customWidth="1"/>
    <col min="21" max="21" width="11.28515625" bestFit="1" customWidth="1"/>
    <col min="22" max="22" width="2" bestFit="1" customWidth="1"/>
    <col min="23" max="23" width="11.85546875" bestFit="1" customWidth="1"/>
    <col min="24" max="24" width="7.5703125" bestFit="1" customWidth="1"/>
    <col min="25" max="25" width="11.5703125" bestFit="1" customWidth="1"/>
    <col min="26" max="26" width="2" bestFit="1" customWidth="1"/>
    <col min="27" max="27" width="2.5703125" bestFit="1" customWidth="1"/>
  </cols>
  <sheetData>
    <row r="3" spans="2:31" ht="15.75" thickBot="1" x14ac:dyDescent="0.3"/>
    <row r="4" spans="2:31" ht="19.5" thickBot="1" x14ac:dyDescent="0.35">
      <c r="B4" s="8"/>
      <c r="C4" s="122" t="s">
        <v>0</v>
      </c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4"/>
      <c r="R4" s="34"/>
      <c r="S4" s="35"/>
    </row>
    <row r="5" spans="2:31" ht="25.5" customHeight="1" thickBot="1" x14ac:dyDescent="0.4">
      <c r="B5" s="9"/>
      <c r="C5" s="7">
        <v>1</v>
      </c>
      <c r="D5" s="5">
        <v>2</v>
      </c>
      <c r="E5" s="5">
        <v>3</v>
      </c>
      <c r="F5" s="5">
        <v>4</v>
      </c>
      <c r="G5" s="5">
        <v>5</v>
      </c>
      <c r="H5" s="5">
        <v>6</v>
      </c>
      <c r="I5" s="5">
        <v>7</v>
      </c>
      <c r="J5" s="5">
        <v>8</v>
      </c>
      <c r="K5" s="5">
        <v>9</v>
      </c>
      <c r="L5" s="5">
        <v>10</v>
      </c>
      <c r="M5" s="5">
        <v>11</v>
      </c>
      <c r="N5" s="5">
        <v>12</v>
      </c>
      <c r="O5" s="5">
        <v>13</v>
      </c>
      <c r="P5" s="5">
        <v>14</v>
      </c>
      <c r="Q5" s="6">
        <v>15</v>
      </c>
      <c r="R5" s="42" t="s">
        <v>12</v>
      </c>
      <c r="S5" s="43" t="s">
        <v>13</v>
      </c>
      <c r="T5" s="14" t="s">
        <v>15</v>
      </c>
      <c r="U5" s="28" t="s">
        <v>17</v>
      </c>
      <c r="V5" s="15"/>
      <c r="W5" s="41" t="s">
        <v>19</v>
      </c>
      <c r="X5" s="41" t="s">
        <v>20</v>
      </c>
      <c r="Y5" s="44" t="s">
        <v>16</v>
      </c>
    </row>
    <row r="6" spans="2:31" ht="23.25" x14ac:dyDescent="0.35">
      <c r="B6" s="46" t="s">
        <v>1</v>
      </c>
      <c r="C6" s="55" t="str">
        <f>'BURNER STATUS'!C6</f>
        <v>N</v>
      </c>
      <c r="D6" s="55" t="str">
        <f>'BURNER STATUS'!D6</f>
        <v>O</v>
      </c>
      <c r="E6" s="55" t="str">
        <f>'BURNER STATUS'!E6</f>
        <v>N</v>
      </c>
      <c r="F6" s="55" t="str">
        <f>'BURNER STATUS'!F6</f>
        <v>O</v>
      </c>
      <c r="G6" s="55" t="str">
        <f>'BURNER STATUS'!G6</f>
        <v>C</v>
      </c>
      <c r="H6" s="55" t="str">
        <f>'BURNER STATUS'!H6</f>
        <v>C</v>
      </c>
      <c r="I6" s="55" t="str">
        <f>'BURNER STATUS'!I6</f>
        <v>C</v>
      </c>
      <c r="J6" s="55" t="str">
        <f>'BURNER STATUS'!J6</f>
        <v>C</v>
      </c>
      <c r="K6" s="55" t="str">
        <f>'BURNER STATUS'!K6</f>
        <v>N</v>
      </c>
      <c r="L6" s="55" t="str">
        <f>'BURNER STATUS'!L6</f>
        <v>N</v>
      </c>
      <c r="M6" s="55" t="str">
        <f>'BURNER STATUS'!M6</f>
        <v>N</v>
      </c>
      <c r="N6" s="55" t="str">
        <f>'BURNER STATUS'!N6</f>
        <v>C</v>
      </c>
      <c r="O6" s="55" t="str">
        <f>'BURNER STATUS'!O6</f>
        <v>O</v>
      </c>
      <c r="P6" s="55" t="str">
        <f>'BURNER STATUS'!P6</f>
        <v>C</v>
      </c>
      <c r="Q6" s="55" t="str">
        <f>'BURNER STATUS'!Q6</f>
        <v>C</v>
      </c>
      <c r="R6" s="56">
        <f>COUNTIF(C6:Q6,"O")+COUNTIF(C6:Q6,"B")</f>
        <v>3</v>
      </c>
      <c r="S6" s="57">
        <f>COUNTIF(C6:Q6,"N")+COUNTIF(C6:Q6,"B")</f>
        <v>5</v>
      </c>
      <c r="T6" s="58">
        <f>S6+R6</f>
        <v>8</v>
      </c>
      <c r="U6" s="24">
        <f>T6+T20</f>
        <v>19</v>
      </c>
      <c r="V6" s="13"/>
      <c r="W6" s="36">
        <f>R6+R20-R34-R48</f>
        <v>8</v>
      </c>
      <c r="X6" s="36">
        <f>S6+S20-S34-S48</f>
        <v>6</v>
      </c>
      <c r="Y6" s="31">
        <f>U6-U34</f>
        <v>14</v>
      </c>
    </row>
    <row r="7" spans="2:31" ht="23.25" x14ac:dyDescent="0.35">
      <c r="B7" s="91" t="s">
        <v>21</v>
      </c>
      <c r="C7" s="55" t="e">
        <f>'BURNER STATUS'!#REF!</f>
        <v>#REF!</v>
      </c>
      <c r="D7" s="55" t="e">
        <f>'BURNER STATUS'!#REF!</f>
        <v>#REF!</v>
      </c>
      <c r="E7" s="55" t="e">
        <f>'BURNER STATUS'!#REF!</f>
        <v>#REF!</v>
      </c>
      <c r="F7" s="55" t="e">
        <f>'BURNER STATUS'!#REF!</f>
        <v>#REF!</v>
      </c>
      <c r="G7" s="55" t="e">
        <f>'BURNER STATUS'!#REF!</f>
        <v>#REF!</v>
      </c>
      <c r="H7" s="55" t="e">
        <f>'BURNER STATUS'!#REF!</f>
        <v>#REF!</v>
      </c>
      <c r="I7" s="55" t="e">
        <f>'BURNER STATUS'!#REF!</f>
        <v>#REF!</v>
      </c>
      <c r="J7" s="55" t="e">
        <f>'BURNER STATUS'!#REF!</f>
        <v>#REF!</v>
      </c>
      <c r="K7" s="55" t="e">
        <f>'BURNER STATUS'!#REF!</f>
        <v>#REF!</v>
      </c>
      <c r="L7" s="55" t="e">
        <f>'BURNER STATUS'!#REF!</f>
        <v>#REF!</v>
      </c>
      <c r="M7" s="55" t="e">
        <f>'BURNER STATUS'!#REF!</f>
        <v>#REF!</v>
      </c>
      <c r="N7" s="55" t="e">
        <f>'BURNER STATUS'!#REF!</f>
        <v>#REF!</v>
      </c>
      <c r="O7" s="55" t="e">
        <f>'BURNER STATUS'!#REF!</f>
        <v>#REF!</v>
      </c>
      <c r="P7" s="55" t="e">
        <f>'BURNER STATUS'!#REF!</f>
        <v>#REF!</v>
      </c>
      <c r="Q7" s="55" t="e">
        <f>'BURNER STATUS'!#REF!</f>
        <v>#REF!</v>
      </c>
      <c r="R7" s="56"/>
      <c r="S7" s="57"/>
      <c r="T7" s="90"/>
      <c r="U7" s="24"/>
      <c r="V7" s="13"/>
      <c r="W7" s="36"/>
      <c r="X7" s="36"/>
      <c r="Y7" s="31"/>
    </row>
    <row r="8" spans="2:31" ht="23.25" x14ac:dyDescent="0.35">
      <c r="B8" s="47" t="s">
        <v>4</v>
      </c>
      <c r="C8" s="55" t="str">
        <f>'BURNER STATUS'!C7</f>
        <v>B</v>
      </c>
      <c r="D8" s="55" t="str">
        <f>'BURNER STATUS'!D7</f>
        <v>O</v>
      </c>
      <c r="E8" s="55" t="str">
        <f>'BURNER STATUS'!E7</f>
        <v>N</v>
      </c>
      <c r="F8" s="55" t="str">
        <f>'BURNER STATUS'!F7</f>
        <v>N</v>
      </c>
      <c r="G8" s="55" t="str">
        <f>'BURNER STATUS'!G7</f>
        <v>C</v>
      </c>
      <c r="H8" s="55" t="str">
        <f>'BURNER STATUS'!H7</f>
        <v>O</v>
      </c>
      <c r="I8" s="55" t="str">
        <f>'BURNER STATUS'!I7</f>
        <v>C</v>
      </c>
      <c r="J8" s="55" t="str">
        <f>'BURNER STATUS'!J7</f>
        <v>C</v>
      </c>
      <c r="K8" s="55" t="str">
        <f>'BURNER STATUS'!K7</f>
        <v>N</v>
      </c>
      <c r="L8" s="55" t="str">
        <f>'BURNER STATUS'!L7</f>
        <v>B</v>
      </c>
      <c r="M8" s="55" t="str">
        <f>'BURNER STATUS'!M7</f>
        <v>O</v>
      </c>
      <c r="N8" s="55" t="str">
        <f>'BURNER STATUS'!N7</f>
        <v>O</v>
      </c>
      <c r="O8" s="55" t="str">
        <f>'BURNER STATUS'!O7</f>
        <v>N</v>
      </c>
      <c r="P8" s="55" t="str">
        <f>'BURNER STATUS'!P7</f>
        <v>O</v>
      </c>
      <c r="Q8" s="55" t="str">
        <f>'BURNER STATUS'!Q7</f>
        <v>B</v>
      </c>
      <c r="R8" s="60">
        <f t="shared" ref="R8:R58" si="0">COUNTIF(C8:Q8,"O")+COUNTIF(C8:Q8,"B")</f>
        <v>8</v>
      </c>
      <c r="S8" s="61">
        <f t="shared" ref="S8:S58" si="1">COUNTIF(C8:Q8,"N")+COUNTIF(C8:Q8,"B")</f>
        <v>7</v>
      </c>
      <c r="T8" s="61">
        <f t="shared" ref="T8:T58" si="2">S8+R8</f>
        <v>15</v>
      </c>
      <c r="U8" s="25">
        <f>T8+T22</f>
        <v>35</v>
      </c>
      <c r="V8" s="11"/>
      <c r="W8" s="36">
        <f>R8+R22-R36-R50</f>
        <v>-2</v>
      </c>
      <c r="X8" s="36">
        <f>S8+S22-S36-S50</f>
        <v>-13</v>
      </c>
      <c r="Y8" s="32">
        <f>U8-U36</f>
        <v>-15</v>
      </c>
      <c r="AA8" s="45" t="s">
        <v>10</v>
      </c>
      <c r="AB8" s="112" t="s">
        <v>11</v>
      </c>
      <c r="AC8" s="112"/>
      <c r="AD8" s="112"/>
      <c r="AE8" s="112"/>
    </row>
    <row r="9" spans="2:31" ht="23.25" x14ac:dyDescent="0.35">
      <c r="B9" s="91" t="s">
        <v>21</v>
      </c>
      <c r="C9" s="55" t="e">
        <f>'BURNER STATUS'!#REF!</f>
        <v>#REF!</v>
      </c>
      <c r="D9" s="55" t="e">
        <f>'BURNER STATUS'!#REF!</f>
        <v>#REF!</v>
      </c>
      <c r="E9" s="55" t="e">
        <f>'BURNER STATUS'!#REF!</f>
        <v>#REF!</v>
      </c>
      <c r="F9" s="55" t="e">
        <f>'BURNER STATUS'!#REF!</f>
        <v>#REF!</v>
      </c>
      <c r="G9" s="55" t="e">
        <f>'BURNER STATUS'!#REF!</f>
        <v>#REF!</v>
      </c>
      <c r="H9" s="55" t="e">
        <f>'BURNER STATUS'!#REF!</f>
        <v>#REF!</v>
      </c>
      <c r="I9" s="55" t="e">
        <f>'BURNER STATUS'!#REF!</f>
        <v>#REF!</v>
      </c>
      <c r="J9" s="55" t="e">
        <f>'BURNER STATUS'!#REF!</f>
        <v>#REF!</v>
      </c>
      <c r="K9" s="55" t="e">
        <f>'BURNER STATUS'!#REF!</f>
        <v>#REF!</v>
      </c>
      <c r="L9" s="55" t="e">
        <f>'BURNER STATUS'!#REF!</f>
        <v>#REF!</v>
      </c>
      <c r="M9" s="55" t="e">
        <f>'BURNER STATUS'!#REF!</f>
        <v>#REF!</v>
      </c>
      <c r="N9" s="55" t="e">
        <f>'BURNER STATUS'!#REF!</f>
        <v>#REF!</v>
      </c>
      <c r="O9" s="55" t="e">
        <f>'BURNER STATUS'!#REF!</f>
        <v>#REF!</v>
      </c>
      <c r="P9" s="55" t="e">
        <f>'BURNER STATUS'!#REF!</f>
        <v>#REF!</v>
      </c>
      <c r="Q9" s="55" t="e">
        <f>'BURNER STATUS'!#REF!</f>
        <v>#REF!</v>
      </c>
      <c r="R9" s="60"/>
      <c r="S9" s="61"/>
      <c r="T9" s="61"/>
      <c r="U9" s="25"/>
      <c r="V9" s="11"/>
      <c r="W9" s="36"/>
      <c r="X9" s="36"/>
      <c r="Y9" s="32"/>
      <c r="AA9" s="92"/>
      <c r="AB9" s="88"/>
      <c r="AC9" s="88"/>
      <c r="AD9" s="88"/>
      <c r="AE9" s="89"/>
    </row>
    <row r="10" spans="2:31" ht="23.25" x14ac:dyDescent="0.35">
      <c r="B10" s="46" t="s">
        <v>5</v>
      </c>
      <c r="C10" s="55" t="str">
        <f>'BURNER STATUS'!C8</f>
        <v>O</v>
      </c>
      <c r="D10" s="55" t="str">
        <f>'BURNER STATUS'!D8</f>
        <v>O</v>
      </c>
      <c r="E10" s="55" t="str">
        <f>'BURNER STATUS'!E8</f>
        <v>O</v>
      </c>
      <c r="F10" s="55" t="str">
        <f>'BURNER STATUS'!F8</f>
        <v>N</v>
      </c>
      <c r="G10" s="55" t="str">
        <f>'BURNER STATUS'!G8</f>
        <v>O</v>
      </c>
      <c r="H10" s="55" t="str">
        <f>'BURNER STATUS'!H8</f>
        <v>O</v>
      </c>
      <c r="I10" s="55" t="str">
        <f>'BURNER STATUS'!I8</f>
        <v>N</v>
      </c>
      <c r="J10" s="55" t="str">
        <f>'BURNER STATUS'!J8</f>
        <v>N</v>
      </c>
      <c r="K10" s="55" t="str">
        <f>'BURNER STATUS'!K8</f>
        <v>B</v>
      </c>
      <c r="L10" s="55" t="str">
        <f>'BURNER STATUS'!L8</f>
        <v>K</v>
      </c>
      <c r="M10" s="55" t="str">
        <f>'BURNER STATUS'!M8</f>
        <v>C</v>
      </c>
      <c r="N10" s="55" t="str">
        <f>'BURNER STATUS'!N8</f>
        <v>C</v>
      </c>
      <c r="O10" s="55" t="str">
        <f>'BURNER STATUS'!O8</f>
        <v>N</v>
      </c>
      <c r="P10" s="55" t="str">
        <f>'BURNER STATUS'!P8</f>
        <v>O</v>
      </c>
      <c r="Q10" s="55" t="str">
        <f>'BURNER STATUS'!Q8</f>
        <v>C</v>
      </c>
      <c r="R10" s="62">
        <f t="shared" si="0"/>
        <v>7</v>
      </c>
      <c r="S10" s="63">
        <f t="shared" si="1"/>
        <v>5</v>
      </c>
      <c r="T10" s="64">
        <f t="shared" si="2"/>
        <v>12</v>
      </c>
      <c r="U10" s="25">
        <f>T10+T24</f>
        <v>25</v>
      </c>
      <c r="V10" s="11"/>
      <c r="W10" s="36">
        <f>R10+R24-R38-R52</f>
        <v>-11</v>
      </c>
      <c r="X10" s="36">
        <f>S10+S24-S38-S52</f>
        <v>1</v>
      </c>
      <c r="Y10" s="32">
        <f>U10-U38</f>
        <v>-10</v>
      </c>
      <c r="AA10" s="115"/>
      <c r="AB10" s="116"/>
      <c r="AC10" s="116"/>
      <c r="AD10" s="116"/>
      <c r="AE10" s="117"/>
    </row>
    <row r="11" spans="2:31" ht="23.25" x14ac:dyDescent="0.35">
      <c r="B11" s="91" t="s">
        <v>21</v>
      </c>
      <c r="C11" s="55" t="e">
        <f>'BURNER STATUS'!#REF!</f>
        <v>#REF!</v>
      </c>
      <c r="D11" s="55" t="e">
        <f>'BURNER STATUS'!#REF!</f>
        <v>#REF!</v>
      </c>
      <c r="E11" s="55" t="e">
        <f>'BURNER STATUS'!#REF!</f>
        <v>#REF!</v>
      </c>
      <c r="F11" s="55" t="e">
        <f>'BURNER STATUS'!#REF!</f>
        <v>#REF!</v>
      </c>
      <c r="G11" s="55" t="e">
        <f>'BURNER STATUS'!#REF!</f>
        <v>#REF!</v>
      </c>
      <c r="H11" s="55" t="e">
        <f>'BURNER STATUS'!#REF!</f>
        <v>#REF!</v>
      </c>
      <c r="I11" s="55" t="e">
        <f>'BURNER STATUS'!#REF!</f>
        <v>#REF!</v>
      </c>
      <c r="J11" s="55" t="e">
        <f>'BURNER STATUS'!#REF!</f>
        <v>#REF!</v>
      </c>
      <c r="K11" s="55" t="e">
        <f>'BURNER STATUS'!#REF!</f>
        <v>#REF!</v>
      </c>
      <c r="L11" s="55" t="e">
        <f>'BURNER STATUS'!#REF!</f>
        <v>#REF!</v>
      </c>
      <c r="M11" s="55" t="e">
        <f>'BURNER STATUS'!#REF!</f>
        <v>#REF!</v>
      </c>
      <c r="N11" s="55" t="e">
        <f>'BURNER STATUS'!#REF!</f>
        <v>#REF!</v>
      </c>
      <c r="O11" s="55" t="e">
        <f>'BURNER STATUS'!#REF!</f>
        <v>#REF!</v>
      </c>
      <c r="P11" s="55" t="e">
        <f>'BURNER STATUS'!#REF!</f>
        <v>#REF!</v>
      </c>
      <c r="Q11" s="55" t="e">
        <f>'BURNER STATUS'!#REF!</f>
        <v>#REF!</v>
      </c>
      <c r="R11" s="62"/>
      <c r="S11" s="63"/>
      <c r="T11" s="64"/>
      <c r="U11" s="25"/>
      <c r="V11" s="11"/>
      <c r="W11" s="36"/>
      <c r="X11" s="36"/>
      <c r="Y11" s="32"/>
      <c r="AA11" s="87"/>
      <c r="AB11" s="88"/>
      <c r="AC11" s="88"/>
      <c r="AD11" s="88"/>
      <c r="AE11" s="89"/>
    </row>
    <row r="12" spans="2:31" ht="23.25" x14ac:dyDescent="0.35">
      <c r="B12" s="47" t="s">
        <v>6</v>
      </c>
      <c r="C12" s="55" t="str">
        <f>'BURNER STATUS'!C9</f>
        <v>C</v>
      </c>
      <c r="D12" s="55" t="str">
        <f>'BURNER STATUS'!D9</f>
        <v>C</v>
      </c>
      <c r="E12" s="55" t="str">
        <f>'BURNER STATUS'!E9</f>
        <v>N</v>
      </c>
      <c r="F12" s="55" t="str">
        <f>'BURNER STATUS'!F9</f>
        <v>B</v>
      </c>
      <c r="G12" s="55" t="str">
        <f>'BURNER STATUS'!G9</f>
        <v>B</v>
      </c>
      <c r="H12" s="55" t="str">
        <f>'BURNER STATUS'!H9</f>
        <v>B</v>
      </c>
      <c r="I12" s="55" t="str">
        <f>'BURNER STATUS'!I9</f>
        <v>O</v>
      </c>
      <c r="J12" s="55" t="str">
        <f>'BURNER STATUS'!J9</f>
        <v>C</v>
      </c>
      <c r="K12" s="55" t="str">
        <f>'BURNER STATUS'!K9</f>
        <v>C</v>
      </c>
      <c r="L12" s="55" t="str">
        <f>'BURNER STATUS'!L9</f>
        <v>O</v>
      </c>
      <c r="M12" s="55" t="str">
        <f>'BURNER STATUS'!M9</f>
        <v>C</v>
      </c>
      <c r="N12" s="55" t="str">
        <f>'BURNER STATUS'!N9</f>
        <v>O</v>
      </c>
      <c r="O12" s="55" t="str">
        <f>'BURNER STATUS'!O9</f>
        <v>O</v>
      </c>
      <c r="P12" s="55" t="str">
        <f>'BURNER STATUS'!P9</f>
        <v>C</v>
      </c>
      <c r="Q12" s="55" t="str">
        <f>'BURNER STATUS'!Q9</f>
        <v>C</v>
      </c>
      <c r="R12" s="65">
        <f t="shared" si="0"/>
        <v>7</v>
      </c>
      <c r="S12" s="66">
        <f t="shared" si="1"/>
        <v>4</v>
      </c>
      <c r="T12" s="66">
        <f t="shared" si="2"/>
        <v>11</v>
      </c>
      <c r="U12" s="25">
        <f>T12+T26</f>
        <v>24</v>
      </c>
      <c r="V12" s="11"/>
      <c r="W12" s="36">
        <f>R12+R26-R40-R54</f>
        <v>1</v>
      </c>
      <c r="X12" s="36">
        <f>S12+S26-S40-S54</f>
        <v>4</v>
      </c>
      <c r="Y12" s="32">
        <f>U12-U40</f>
        <v>5</v>
      </c>
      <c r="AA12" s="2" t="s">
        <v>9</v>
      </c>
      <c r="AB12" s="112" t="s">
        <v>12</v>
      </c>
      <c r="AC12" s="112"/>
      <c r="AD12" s="112"/>
      <c r="AE12" s="112"/>
    </row>
    <row r="13" spans="2:31" ht="23.25" x14ac:dyDescent="0.35">
      <c r="B13" s="91" t="s">
        <v>21</v>
      </c>
      <c r="C13" s="55" t="e">
        <f>'BURNER STATUS'!#REF!</f>
        <v>#REF!</v>
      </c>
      <c r="D13" s="55" t="e">
        <f>'BURNER STATUS'!#REF!</f>
        <v>#REF!</v>
      </c>
      <c r="E13" s="55" t="e">
        <f>'BURNER STATUS'!#REF!</f>
        <v>#REF!</v>
      </c>
      <c r="F13" s="55" t="e">
        <f>'BURNER STATUS'!#REF!</f>
        <v>#REF!</v>
      </c>
      <c r="G13" s="55" t="e">
        <f>'BURNER STATUS'!#REF!</f>
        <v>#REF!</v>
      </c>
      <c r="H13" s="55" t="e">
        <f>'BURNER STATUS'!#REF!</f>
        <v>#REF!</v>
      </c>
      <c r="I13" s="55" t="e">
        <f>'BURNER STATUS'!#REF!</f>
        <v>#REF!</v>
      </c>
      <c r="J13" s="55" t="e">
        <f>'BURNER STATUS'!#REF!</f>
        <v>#REF!</v>
      </c>
      <c r="K13" s="55" t="e">
        <f>'BURNER STATUS'!#REF!</f>
        <v>#REF!</v>
      </c>
      <c r="L13" s="55" t="e">
        <f>'BURNER STATUS'!#REF!</f>
        <v>#REF!</v>
      </c>
      <c r="M13" s="55" t="e">
        <f>'BURNER STATUS'!#REF!</f>
        <v>#REF!</v>
      </c>
      <c r="N13" s="55" t="e">
        <f>'BURNER STATUS'!#REF!</f>
        <v>#REF!</v>
      </c>
      <c r="O13" s="55" t="e">
        <f>'BURNER STATUS'!#REF!</f>
        <v>#REF!</v>
      </c>
      <c r="P13" s="55" t="e">
        <f>'BURNER STATUS'!#REF!</f>
        <v>#REF!</v>
      </c>
      <c r="Q13" s="55" t="e">
        <f>'BURNER STATUS'!#REF!</f>
        <v>#REF!</v>
      </c>
      <c r="R13" s="65"/>
      <c r="S13" s="66"/>
      <c r="T13" s="66"/>
      <c r="U13" s="25"/>
      <c r="V13" s="11"/>
      <c r="W13" s="36"/>
      <c r="X13" s="36"/>
      <c r="Y13" s="32"/>
      <c r="AA13" s="4"/>
      <c r="AB13" s="88"/>
      <c r="AC13" s="88"/>
      <c r="AD13" s="88"/>
      <c r="AE13" s="89"/>
    </row>
    <row r="14" spans="2:31" ht="23.25" x14ac:dyDescent="0.35">
      <c r="B14" s="46" t="s">
        <v>7</v>
      </c>
      <c r="C14" s="55" t="str">
        <f>'BURNER STATUS'!C10</f>
        <v>B</v>
      </c>
      <c r="D14" s="55" t="str">
        <f>'BURNER STATUS'!D10</f>
        <v>N</v>
      </c>
      <c r="E14" s="55" t="str">
        <f>'BURNER STATUS'!E10</f>
        <v>B</v>
      </c>
      <c r="F14" s="55" t="str">
        <f>'BURNER STATUS'!F10</f>
        <v>C</v>
      </c>
      <c r="G14" s="55" t="str">
        <f>'BURNER STATUS'!G10</f>
        <v>O</v>
      </c>
      <c r="H14" s="55" t="str">
        <f>'BURNER STATUS'!H10</f>
        <v>O</v>
      </c>
      <c r="I14" s="55" t="str">
        <f>'BURNER STATUS'!I10</f>
        <v>B</v>
      </c>
      <c r="J14" s="55" t="str">
        <f>'BURNER STATUS'!J10</f>
        <v>B</v>
      </c>
      <c r="K14" s="55" t="str">
        <f>'BURNER STATUS'!K10</f>
        <v>B</v>
      </c>
      <c r="L14" s="55" t="str">
        <f>'BURNER STATUS'!L10</f>
        <v>N</v>
      </c>
      <c r="M14" s="55" t="str">
        <f>'BURNER STATUS'!M10</f>
        <v>C</v>
      </c>
      <c r="N14" s="55" t="str">
        <f>'BURNER STATUS'!N10</f>
        <v>O</v>
      </c>
      <c r="O14" s="55" t="str">
        <f>'BURNER STATUS'!O10</f>
        <v>N</v>
      </c>
      <c r="P14" s="55" t="str">
        <f>'BURNER STATUS'!P10</f>
        <v>O</v>
      </c>
      <c r="Q14" s="55" t="str">
        <f>'BURNER STATUS'!Q10</f>
        <v>B</v>
      </c>
      <c r="R14" s="67">
        <f t="shared" si="0"/>
        <v>10</v>
      </c>
      <c r="S14" s="68">
        <f t="shared" si="1"/>
        <v>9</v>
      </c>
      <c r="T14" s="68">
        <f t="shared" si="2"/>
        <v>19</v>
      </c>
      <c r="U14" s="25">
        <f>T14+T28</f>
        <v>40</v>
      </c>
      <c r="V14" s="11"/>
      <c r="W14" s="36">
        <f>R14+R28-R42-R56</f>
        <v>-5</v>
      </c>
      <c r="X14" s="36">
        <f>S14+S28-S42-S56</f>
        <v>7</v>
      </c>
      <c r="Y14" s="32">
        <f>U14-U42</f>
        <v>2</v>
      </c>
      <c r="AA14" s="115"/>
      <c r="AB14" s="116"/>
      <c r="AC14" s="116"/>
      <c r="AD14" s="116"/>
      <c r="AE14" s="117"/>
    </row>
    <row r="15" spans="2:31" ht="23.25" x14ac:dyDescent="0.35">
      <c r="B15" s="91" t="s">
        <v>21</v>
      </c>
      <c r="C15" s="55" t="e">
        <f>'BURNER STATUS'!#REF!</f>
        <v>#REF!</v>
      </c>
      <c r="D15" s="55" t="e">
        <f>'BURNER STATUS'!#REF!</f>
        <v>#REF!</v>
      </c>
      <c r="E15" s="55" t="e">
        <f>'BURNER STATUS'!#REF!</f>
        <v>#REF!</v>
      </c>
      <c r="F15" s="55" t="e">
        <f>'BURNER STATUS'!#REF!</f>
        <v>#REF!</v>
      </c>
      <c r="G15" s="55" t="e">
        <f>'BURNER STATUS'!#REF!</f>
        <v>#REF!</v>
      </c>
      <c r="H15" s="55" t="e">
        <f>'BURNER STATUS'!#REF!</f>
        <v>#REF!</v>
      </c>
      <c r="I15" s="55" t="e">
        <f>'BURNER STATUS'!#REF!</f>
        <v>#REF!</v>
      </c>
      <c r="J15" s="55" t="e">
        <f>'BURNER STATUS'!#REF!</f>
        <v>#REF!</v>
      </c>
      <c r="K15" s="55" t="e">
        <f>'BURNER STATUS'!#REF!</f>
        <v>#REF!</v>
      </c>
      <c r="L15" s="55" t="e">
        <f>'BURNER STATUS'!#REF!</f>
        <v>#REF!</v>
      </c>
      <c r="M15" s="55" t="e">
        <f>'BURNER STATUS'!#REF!</f>
        <v>#REF!</v>
      </c>
      <c r="N15" s="55" t="e">
        <f>'BURNER STATUS'!#REF!</f>
        <v>#REF!</v>
      </c>
      <c r="O15" s="55" t="e">
        <f>'BURNER STATUS'!#REF!</f>
        <v>#REF!</v>
      </c>
      <c r="P15" s="55" t="e">
        <f>'BURNER STATUS'!#REF!</f>
        <v>#REF!</v>
      </c>
      <c r="Q15" s="55" t="e">
        <f>'BURNER STATUS'!#REF!</f>
        <v>#REF!</v>
      </c>
      <c r="R15" s="67"/>
      <c r="S15" s="68"/>
      <c r="T15" s="68"/>
      <c r="U15" s="25"/>
      <c r="V15" s="11"/>
      <c r="W15" s="36"/>
      <c r="X15" s="36"/>
      <c r="Y15" s="32"/>
      <c r="AA15" s="87"/>
      <c r="AB15" s="88"/>
      <c r="AC15" s="88"/>
      <c r="AD15" s="88"/>
      <c r="AE15" s="89"/>
    </row>
    <row r="16" spans="2:31" ht="23.25" x14ac:dyDescent="0.35">
      <c r="B16" s="46" t="s">
        <v>8</v>
      </c>
      <c r="C16" s="55" t="str">
        <f>'BURNER STATUS'!C11</f>
        <v>O</v>
      </c>
      <c r="D16" s="55" t="str">
        <f>'BURNER STATUS'!D11</f>
        <v>C</v>
      </c>
      <c r="E16" s="55" t="str">
        <f>'BURNER STATUS'!E11</f>
        <v>O</v>
      </c>
      <c r="F16" s="55" t="str">
        <f>'BURNER STATUS'!F11</f>
        <v>B</v>
      </c>
      <c r="G16" s="55" t="str">
        <f>'BURNER STATUS'!G11</f>
        <v>N</v>
      </c>
      <c r="H16" s="55" t="str">
        <f>'BURNER STATUS'!H11</f>
        <v>B</v>
      </c>
      <c r="I16" s="55" t="str">
        <f>'BURNER STATUS'!I11</f>
        <v>N</v>
      </c>
      <c r="J16" s="55" t="str">
        <f>'BURNER STATUS'!J11</f>
        <v>N</v>
      </c>
      <c r="K16" s="55" t="str">
        <f>'BURNER STATUS'!K11</f>
        <v>C</v>
      </c>
      <c r="L16" s="55" t="str">
        <f>'BURNER STATUS'!L11</f>
        <v>N</v>
      </c>
      <c r="M16" s="55" t="str">
        <f>'BURNER STATUS'!M11</f>
        <v>C</v>
      </c>
      <c r="N16" s="55" t="str">
        <f>'BURNER STATUS'!N11</f>
        <v>N</v>
      </c>
      <c r="O16" s="55" t="str">
        <f>'BURNER STATUS'!O11</f>
        <v>C</v>
      </c>
      <c r="P16" s="55" t="str">
        <f>'BURNER STATUS'!P11</f>
        <v>B</v>
      </c>
      <c r="Q16" s="55" t="str">
        <f>'BURNER STATUS'!Q11</f>
        <v>N</v>
      </c>
      <c r="R16" s="69">
        <f t="shared" si="0"/>
        <v>5</v>
      </c>
      <c r="S16" s="70">
        <f t="shared" si="1"/>
        <v>9</v>
      </c>
      <c r="T16" s="71">
        <f t="shared" si="2"/>
        <v>14</v>
      </c>
      <c r="U16" s="25">
        <f t="shared" ref="U16" si="3">T16+T30</f>
        <v>31</v>
      </c>
      <c r="V16" s="11"/>
      <c r="W16" s="36">
        <f t="shared" ref="W16:X16" si="4">R16+R30-R44-R58</f>
        <v>-14</v>
      </c>
      <c r="X16" s="36">
        <f t="shared" si="4"/>
        <v>-2</v>
      </c>
      <c r="Y16" s="32">
        <f t="shared" ref="Y16" si="5">U16-U44</f>
        <v>-16</v>
      </c>
      <c r="AA16" s="4" t="s">
        <v>2</v>
      </c>
      <c r="AB16" s="112" t="s">
        <v>13</v>
      </c>
      <c r="AC16" s="112"/>
      <c r="AD16" s="112"/>
      <c r="AE16" s="112"/>
    </row>
    <row r="17" spans="2:31" ht="23.25" x14ac:dyDescent="0.35">
      <c r="B17" s="91" t="s">
        <v>21</v>
      </c>
      <c r="C17" s="55" t="e">
        <f>'BURNER STATUS'!#REF!</f>
        <v>#REF!</v>
      </c>
      <c r="D17" s="55" t="e">
        <f>'BURNER STATUS'!#REF!</f>
        <v>#REF!</v>
      </c>
      <c r="E17" s="55" t="e">
        <f>'BURNER STATUS'!#REF!</f>
        <v>#REF!</v>
      </c>
      <c r="F17" s="55" t="e">
        <f>'BURNER STATUS'!#REF!</f>
        <v>#REF!</v>
      </c>
      <c r="G17" s="55" t="e">
        <f>'BURNER STATUS'!#REF!</f>
        <v>#REF!</v>
      </c>
      <c r="H17" s="55" t="e">
        <f>'BURNER STATUS'!#REF!</f>
        <v>#REF!</v>
      </c>
      <c r="I17" s="55" t="e">
        <f>'BURNER STATUS'!#REF!</f>
        <v>#REF!</v>
      </c>
      <c r="J17" s="55" t="e">
        <f>'BURNER STATUS'!#REF!</f>
        <v>#REF!</v>
      </c>
      <c r="K17" s="55" t="e">
        <f>'BURNER STATUS'!#REF!</f>
        <v>#REF!</v>
      </c>
      <c r="L17" s="55" t="e">
        <f>'BURNER STATUS'!#REF!</f>
        <v>#REF!</v>
      </c>
      <c r="M17" s="55" t="e">
        <f>'BURNER STATUS'!#REF!</f>
        <v>#REF!</v>
      </c>
      <c r="N17" s="55" t="e">
        <f>'BURNER STATUS'!#REF!</f>
        <v>#REF!</v>
      </c>
      <c r="O17" s="55" t="e">
        <f>'BURNER STATUS'!#REF!</f>
        <v>#REF!</v>
      </c>
      <c r="P17" s="55" t="e">
        <f>'BURNER STATUS'!#REF!</f>
        <v>#REF!</v>
      </c>
      <c r="Q17" s="55" t="e">
        <f>'BURNER STATUS'!#REF!</f>
        <v>#REF!</v>
      </c>
      <c r="R17" s="69"/>
      <c r="S17" s="70"/>
      <c r="T17" s="71"/>
      <c r="U17" s="25"/>
      <c r="V17" s="11"/>
      <c r="W17" s="36"/>
      <c r="X17" s="36"/>
      <c r="Y17" s="32"/>
      <c r="AA17" s="4"/>
      <c r="AB17" s="88"/>
      <c r="AC17" s="88"/>
      <c r="AD17" s="88"/>
      <c r="AE17" s="89"/>
    </row>
    <row r="18" spans="2:31" ht="24" thickBot="1" x14ac:dyDescent="0.4">
      <c r="B18" s="10"/>
      <c r="C18" s="123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63">
        <f>SUM(R6:R16)</f>
        <v>40</v>
      </c>
      <c r="S18" s="63">
        <f>SUM(S6:S16)</f>
        <v>39</v>
      </c>
      <c r="T18" s="64"/>
      <c r="U18" s="25">
        <f>SUM(U6:U16)</f>
        <v>174</v>
      </c>
      <c r="V18" s="11"/>
      <c r="W18" s="37"/>
      <c r="X18" s="37"/>
      <c r="Y18" s="12"/>
      <c r="AA18" s="115"/>
      <c r="AB18" s="116"/>
      <c r="AC18" s="116"/>
      <c r="AD18" s="116"/>
      <c r="AE18" s="117"/>
    </row>
    <row r="19" spans="2:31" ht="24" thickBot="1" x14ac:dyDescent="0.4">
      <c r="B19" s="10"/>
      <c r="C19" s="122" t="s">
        <v>22</v>
      </c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4"/>
      <c r="R19" s="63"/>
      <c r="S19" s="63"/>
      <c r="T19" s="64"/>
      <c r="U19" s="25"/>
      <c r="V19" s="11"/>
      <c r="W19" s="37"/>
      <c r="X19" s="37"/>
      <c r="Y19" s="12"/>
      <c r="AA19" s="1" t="s">
        <v>3</v>
      </c>
      <c r="AB19" s="112" t="s">
        <v>14</v>
      </c>
      <c r="AC19" s="112"/>
      <c r="AD19" s="112"/>
      <c r="AE19" s="112"/>
    </row>
    <row r="20" spans="2:31" ht="23.25" x14ac:dyDescent="0.35">
      <c r="B20" s="46" t="s">
        <v>1</v>
      </c>
      <c r="C20" s="55" t="str">
        <f>'BURNER STATUS'!C14</f>
        <v>O</v>
      </c>
      <c r="D20" s="55" t="str">
        <f>'BURNER STATUS'!D14</f>
        <v>C</v>
      </c>
      <c r="E20" s="55" t="str">
        <f>'BURNER STATUS'!E14</f>
        <v>O</v>
      </c>
      <c r="F20" s="55" t="str">
        <f>'BURNER STATUS'!F14</f>
        <v>O</v>
      </c>
      <c r="G20" s="55" t="str">
        <f>'BURNER STATUS'!G14</f>
        <v>O</v>
      </c>
      <c r="H20" s="55" t="str">
        <f>'BURNER STATUS'!H14</f>
        <v>C</v>
      </c>
      <c r="I20" s="55" t="str">
        <f>'BURNER STATUS'!I14</f>
        <v>O</v>
      </c>
      <c r="J20" s="55" t="str">
        <f>'BURNER STATUS'!J14</f>
        <v>C</v>
      </c>
      <c r="K20" s="55" t="str">
        <f>'BURNER STATUS'!K14</f>
        <v>C</v>
      </c>
      <c r="L20" s="55" t="str">
        <f>'BURNER STATUS'!L14</f>
        <v>N</v>
      </c>
      <c r="M20" s="55" t="str">
        <f>'BURNER STATUS'!M14</f>
        <v>B</v>
      </c>
      <c r="N20" s="55" t="str">
        <f>'BURNER STATUS'!N14</f>
        <v>O</v>
      </c>
      <c r="O20" s="55" t="str">
        <f>'BURNER STATUS'!O14</f>
        <v>N</v>
      </c>
      <c r="P20" s="55" t="str">
        <f>'BURNER STATUS'!P14</f>
        <v>C</v>
      </c>
      <c r="Q20" s="55" t="str">
        <f>'BURNER STATUS'!Q14</f>
        <v>N</v>
      </c>
      <c r="R20" s="56">
        <f t="shared" si="0"/>
        <v>7</v>
      </c>
      <c r="S20" s="57">
        <f t="shared" si="1"/>
        <v>4</v>
      </c>
      <c r="T20" s="57">
        <f t="shared" si="2"/>
        <v>11</v>
      </c>
      <c r="U20" s="25"/>
      <c r="V20" s="11"/>
      <c r="W20" s="37"/>
      <c r="X20" s="37"/>
      <c r="Y20" s="12"/>
    </row>
    <row r="21" spans="2:31" ht="23.25" x14ac:dyDescent="0.35">
      <c r="B21" s="91" t="s">
        <v>21</v>
      </c>
      <c r="C21" s="55" t="e">
        <f>'BURNER STATUS'!#REF!</f>
        <v>#REF!</v>
      </c>
      <c r="D21" s="55" t="e">
        <f>'BURNER STATUS'!#REF!</f>
        <v>#REF!</v>
      </c>
      <c r="E21" s="55" t="e">
        <f>'BURNER STATUS'!#REF!</f>
        <v>#REF!</v>
      </c>
      <c r="F21" s="55" t="e">
        <f>'BURNER STATUS'!#REF!</f>
        <v>#REF!</v>
      </c>
      <c r="G21" s="55" t="e">
        <f>'BURNER STATUS'!#REF!</f>
        <v>#REF!</v>
      </c>
      <c r="H21" s="55" t="e">
        <f>'BURNER STATUS'!#REF!</f>
        <v>#REF!</v>
      </c>
      <c r="I21" s="55" t="e">
        <f>'BURNER STATUS'!#REF!</f>
        <v>#REF!</v>
      </c>
      <c r="J21" s="55" t="e">
        <f>'BURNER STATUS'!#REF!</f>
        <v>#REF!</v>
      </c>
      <c r="K21" s="55" t="e">
        <f>'BURNER STATUS'!#REF!</f>
        <v>#REF!</v>
      </c>
      <c r="L21" s="55" t="e">
        <f>'BURNER STATUS'!#REF!</f>
        <v>#REF!</v>
      </c>
      <c r="M21" s="55" t="e">
        <f>'BURNER STATUS'!#REF!</f>
        <v>#REF!</v>
      </c>
      <c r="N21" s="55" t="e">
        <f>'BURNER STATUS'!#REF!</f>
        <v>#REF!</v>
      </c>
      <c r="O21" s="55" t="e">
        <f>'BURNER STATUS'!#REF!</f>
        <v>#REF!</v>
      </c>
      <c r="P21" s="55" t="e">
        <f>'BURNER STATUS'!#REF!</f>
        <v>#REF!</v>
      </c>
      <c r="Q21" s="55" t="e">
        <f>'BURNER STATUS'!#REF!</f>
        <v>#REF!</v>
      </c>
      <c r="R21" s="56"/>
      <c r="S21" s="57"/>
      <c r="T21" s="57"/>
      <c r="U21" s="25"/>
      <c r="V21" s="11"/>
      <c r="W21" s="37"/>
      <c r="X21" s="37"/>
      <c r="Y21" s="12"/>
    </row>
    <row r="22" spans="2:31" ht="23.25" x14ac:dyDescent="0.35">
      <c r="B22" s="47" t="s">
        <v>4</v>
      </c>
      <c r="C22" s="55" t="str">
        <f>'BURNER STATUS'!C15</f>
        <v>B</v>
      </c>
      <c r="D22" s="55" t="str">
        <f>'BURNER STATUS'!D15</f>
        <v>B</v>
      </c>
      <c r="E22" s="55" t="str">
        <f>'BURNER STATUS'!E15</f>
        <v>O</v>
      </c>
      <c r="F22" s="55" t="str">
        <f>'BURNER STATUS'!F15</f>
        <v>B</v>
      </c>
      <c r="G22" s="55" t="str">
        <f>'BURNER STATUS'!G15</f>
        <v>N</v>
      </c>
      <c r="H22" s="55" t="str">
        <f>'BURNER STATUS'!H15</f>
        <v>N</v>
      </c>
      <c r="I22" s="55" t="str">
        <f>'BURNER STATUS'!I15</f>
        <v>O</v>
      </c>
      <c r="J22" s="55" t="str">
        <f>'BURNER STATUS'!J15</f>
        <v>C</v>
      </c>
      <c r="K22" s="55" t="str">
        <f>'BURNER STATUS'!K15</f>
        <v>B</v>
      </c>
      <c r="L22" s="55" t="str">
        <f>'BURNER STATUS'!L15</f>
        <v>C</v>
      </c>
      <c r="M22" s="55" t="str">
        <f>'BURNER STATUS'!M15</f>
        <v>B</v>
      </c>
      <c r="N22" s="55" t="str">
        <f>'BURNER STATUS'!N15</f>
        <v>B</v>
      </c>
      <c r="O22" s="55" t="str">
        <f>'BURNER STATUS'!O15</f>
        <v>O</v>
      </c>
      <c r="P22" s="55" t="str">
        <f>'BURNER STATUS'!P15</f>
        <v>B</v>
      </c>
      <c r="Q22" s="55" t="str">
        <f>'BURNER STATUS'!Q15</f>
        <v>O</v>
      </c>
      <c r="R22" s="60">
        <f t="shared" si="0"/>
        <v>11</v>
      </c>
      <c r="S22" s="61">
        <f>COUNTIF(C22:Q22,"N")+COUNTIF(C22:Q22,"B")</f>
        <v>9</v>
      </c>
      <c r="T22" s="61">
        <f t="shared" si="2"/>
        <v>20</v>
      </c>
      <c r="U22" s="25"/>
      <c r="V22" s="11"/>
      <c r="W22" s="37"/>
      <c r="X22" s="37"/>
      <c r="Y22" s="12"/>
    </row>
    <row r="23" spans="2:31" ht="23.25" x14ac:dyDescent="0.35">
      <c r="B23" s="91" t="s">
        <v>21</v>
      </c>
      <c r="C23" s="55" t="e">
        <f>'BURNER STATUS'!#REF!</f>
        <v>#REF!</v>
      </c>
      <c r="D23" s="55" t="e">
        <f>'BURNER STATUS'!#REF!</f>
        <v>#REF!</v>
      </c>
      <c r="E23" s="55" t="e">
        <f>'BURNER STATUS'!#REF!</f>
        <v>#REF!</v>
      </c>
      <c r="F23" s="55" t="e">
        <f>'BURNER STATUS'!#REF!</f>
        <v>#REF!</v>
      </c>
      <c r="G23" s="55" t="e">
        <f>'BURNER STATUS'!#REF!</f>
        <v>#REF!</v>
      </c>
      <c r="H23" s="55" t="e">
        <f>'BURNER STATUS'!#REF!</f>
        <v>#REF!</v>
      </c>
      <c r="I23" s="55" t="e">
        <f>'BURNER STATUS'!#REF!</f>
        <v>#REF!</v>
      </c>
      <c r="J23" s="55" t="e">
        <f>'BURNER STATUS'!#REF!</f>
        <v>#REF!</v>
      </c>
      <c r="K23" s="55" t="e">
        <f>'BURNER STATUS'!#REF!</f>
        <v>#REF!</v>
      </c>
      <c r="L23" s="55" t="e">
        <f>'BURNER STATUS'!#REF!</f>
        <v>#REF!</v>
      </c>
      <c r="M23" s="55" t="e">
        <f>'BURNER STATUS'!#REF!</f>
        <v>#REF!</v>
      </c>
      <c r="N23" s="55" t="e">
        <f>'BURNER STATUS'!#REF!</f>
        <v>#REF!</v>
      </c>
      <c r="O23" s="55" t="e">
        <f>'BURNER STATUS'!#REF!</f>
        <v>#REF!</v>
      </c>
      <c r="P23" s="55" t="e">
        <f>'BURNER STATUS'!#REF!</f>
        <v>#REF!</v>
      </c>
      <c r="Q23" s="55" t="e">
        <f>'BURNER STATUS'!#REF!</f>
        <v>#REF!</v>
      </c>
      <c r="R23" s="60"/>
      <c r="S23" s="61"/>
      <c r="T23" s="61"/>
      <c r="U23" s="25"/>
      <c r="V23" s="11"/>
      <c r="W23" s="37"/>
      <c r="X23" s="37"/>
      <c r="Y23" s="12"/>
    </row>
    <row r="24" spans="2:31" ht="23.25" x14ac:dyDescent="0.35">
      <c r="B24" s="46" t="s">
        <v>5</v>
      </c>
      <c r="C24" s="55" t="str">
        <f>'BURNER STATUS'!C16</f>
        <v>O</v>
      </c>
      <c r="D24" s="55" t="str">
        <f>'BURNER STATUS'!D16</f>
        <v>O</v>
      </c>
      <c r="E24" s="55" t="str">
        <f>'BURNER STATUS'!E16</f>
        <v>O</v>
      </c>
      <c r="F24" s="55" t="str">
        <f>'BURNER STATUS'!F16</f>
        <v>N</v>
      </c>
      <c r="G24" s="55" t="str">
        <f>'BURNER STATUS'!G16</f>
        <v>N</v>
      </c>
      <c r="H24" s="55" t="str">
        <f>'BURNER STATUS'!H16</f>
        <v>N</v>
      </c>
      <c r="I24" s="55" t="str">
        <f>'BURNER STATUS'!I16</f>
        <v>O</v>
      </c>
      <c r="J24" s="55" t="str">
        <f>'BURNER STATUS'!J16</f>
        <v>C</v>
      </c>
      <c r="K24" s="55" t="str">
        <f>'BURNER STATUS'!K16</f>
        <v>O</v>
      </c>
      <c r="L24" s="55" t="str">
        <f>'BURNER STATUS'!L16</f>
        <v>N</v>
      </c>
      <c r="M24" s="55" t="str">
        <f>'BURNER STATUS'!M16</f>
        <v>O</v>
      </c>
      <c r="N24" s="55" t="str">
        <f>'BURNER STATUS'!N16</f>
        <v>N</v>
      </c>
      <c r="O24" s="55" t="str">
        <f>'BURNER STATUS'!O16</f>
        <v>C</v>
      </c>
      <c r="P24" s="55" t="str">
        <f>'BURNER STATUS'!P16</f>
        <v>N</v>
      </c>
      <c r="Q24" s="55" t="str">
        <f>'BURNER STATUS'!Q16</f>
        <v>N</v>
      </c>
      <c r="R24" s="62">
        <f t="shared" si="0"/>
        <v>6</v>
      </c>
      <c r="S24" s="63">
        <f t="shared" si="1"/>
        <v>7</v>
      </c>
      <c r="T24" s="64">
        <f t="shared" si="2"/>
        <v>13</v>
      </c>
      <c r="U24" s="25"/>
      <c r="V24" s="11"/>
      <c r="W24" s="37"/>
      <c r="X24" s="37"/>
      <c r="Y24" s="12"/>
    </row>
    <row r="25" spans="2:31" ht="23.25" x14ac:dyDescent="0.35">
      <c r="B25" s="91" t="s">
        <v>21</v>
      </c>
      <c r="C25" s="55" t="e">
        <f>'BURNER STATUS'!#REF!</f>
        <v>#REF!</v>
      </c>
      <c r="D25" s="55" t="e">
        <f>'BURNER STATUS'!#REF!</f>
        <v>#REF!</v>
      </c>
      <c r="E25" s="55" t="e">
        <f>'BURNER STATUS'!#REF!</f>
        <v>#REF!</v>
      </c>
      <c r="F25" s="55" t="e">
        <f>'BURNER STATUS'!#REF!</f>
        <v>#REF!</v>
      </c>
      <c r="G25" s="55" t="e">
        <f>'BURNER STATUS'!#REF!</f>
        <v>#REF!</v>
      </c>
      <c r="H25" s="55" t="e">
        <f>'BURNER STATUS'!#REF!</f>
        <v>#REF!</v>
      </c>
      <c r="I25" s="55" t="e">
        <f>'BURNER STATUS'!#REF!</f>
        <v>#REF!</v>
      </c>
      <c r="J25" s="55" t="e">
        <f>'BURNER STATUS'!#REF!</f>
        <v>#REF!</v>
      </c>
      <c r="K25" s="55" t="e">
        <f>'BURNER STATUS'!#REF!</f>
        <v>#REF!</v>
      </c>
      <c r="L25" s="55" t="e">
        <f>'BURNER STATUS'!#REF!</f>
        <v>#REF!</v>
      </c>
      <c r="M25" s="55" t="e">
        <f>'BURNER STATUS'!#REF!</f>
        <v>#REF!</v>
      </c>
      <c r="N25" s="55" t="e">
        <f>'BURNER STATUS'!#REF!</f>
        <v>#REF!</v>
      </c>
      <c r="O25" s="55" t="e">
        <f>'BURNER STATUS'!#REF!</f>
        <v>#REF!</v>
      </c>
      <c r="P25" s="55" t="e">
        <f>'BURNER STATUS'!#REF!</f>
        <v>#REF!</v>
      </c>
      <c r="Q25" s="55" t="e">
        <f>'BURNER STATUS'!#REF!</f>
        <v>#REF!</v>
      </c>
      <c r="R25" s="62"/>
      <c r="S25" s="63"/>
      <c r="T25" s="64"/>
      <c r="U25" s="25"/>
      <c r="V25" s="11"/>
      <c r="W25" s="37"/>
      <c r="X25" s="37"/>
      <c r="Y25" s="12"/>
    </row>
    <row r="26" spans="2:31" ht="23.25" x14ac:dyDescent="0.35">
      <c r="B26" s="47" t="s">
        <v>6</v>
      </c>
      <c r="C26" s="55" t="str">
        <f>'BURNER STATUS'!C17</f>
        <v>N</v>
      </c>
      <c r="D26" s="55" t="str">
        <f>'BURNER STATUS'!D17</f>
        <v>C</v>
      </c>
      <c r="E26" s="55" t="str">
        <f>'BURNER STATUS'!E17</f>
        <v>N</v>
      </c>
      <c r="F26" s="55" t="str">
        <f>'BURNER STATUS'!F17</f>
        <v>N</v>
      </c>
      <c r="G26" s="55" t="str">
        <f>'BURNER STATUS'!G17</f>
        <v>N</v>
      </c>
      <c r="H26" s="55" t="str">
        <f>'BURNER STATUS'!H17</f>
        <v>O</v>
      </c>
      <c r="I26" s="55" t="str">
        <f>'BURNER STATUS'!I17</f>
        <v>O</v>
      </c>
      <c r="J26" s="55" t="str">
        <f>'BURNER STATUS'!J17</f>
        <v>O</v>
      </c>
      <c r="K26" s="55" t="str">
        <f>'BURNER STATUS'!K17</f>
        <v>C</v>
      </c>
      <c r="L26" s="55" t="str">
        <f>'BURNER STATUS'!L17</f>
        <v>N</v>
      </c>
      <c r="M26" s="55" t="str">
        <f>'BURNER STATUS'!M17</f>
        <v>C</v>
      </c>
      <c r="N26" s="55" t="str">
        <f>'BURNER STATUS'!N17</f>
        <v>N</v>
      </c>
      <c r="O26" s="55" t="str">
        <f>'BURNER STATUS'!O17</f>
        <v>N</v>
      </c>
      <c r="P26" s="55" t="str">
        <f>'BURNER STATUS'!P17</f>
        <v>B</v>
      </c>
      <c r="Q26" s="55" t="str">
        <f>'BURNER STATUS'!Q17</f>
        <v>O</v>
      </c>
      <c r="R26" s="65">
        <f t="shared" si="0"/>
        <v>5</v>
      </c>
      <c r="S26" s="66">
        <f t="shared" si="1"/>
        <v>8</v>
      </c>
      <c r="T26" s="66">
        <f t="shared" si="2"/>
        <v>13</v>
      </c>
      <c r="U26" s="25"/>
      <c r="V26" s="11"/>
      <c r="W26" s="37"/>
      <c r="X26" s="37"/>
      <c r="Y26" s="12"/>
    </row>
    <row r="27" spans="2:31" ht="23.25" x14ac:dyDescent="0.35">
      <c r="B27" s="91" t="s">
        <v>21</v>
      </c>
      <c r="C27" s="55" t="e">
        <f>'BURNER STATUS'!#REF!</f>
        <v>#REF!</v>
      </c>
      <c r="D27" s="55" t="e">
        <f>'BURNER STATUS'!#REF!</f>
        <v>#REF!</v>
      </c>
      <c r="E27" s="55" t="e">
        <f>'BURNER STATUS'!#REF!</f>
        <v>#REF!</v>
      </c>
      <c r="F27" s="55" t="e">
        <f>'BURNER STATUS'!#REF!</f>
        <v>#REF!</v>
      </c>
      <c r="G27" s="55" t="e">
        <f>'BURNER STATUS'!#REF!</f>
        <v>#REF!</v>
      </c>
      <c r="H27" s="55" t="e">
        <f>'BURNER STATUS'!#REF!</f>
        <v>#REF!</v>
      </c>
      <c r="I27" s="55" t="e">
        <f>'BURNER STATUS'!#REF!</f>
        <v>#REF!</v>
      </c>
      <c r="J27" s="55" t="e">
        <f>'BURNER STATUS'!#REF!</f>
        <v>#REF!</v>
      </c>
      <c r="K27" s="55" t="e">
        <f>'BURNER STATUS'!#REF!</f>
        <v>#REF!</v>
      </c>
      <c r="L27" s="55" t="e">
        <f>'BURNER STATUS'!#REF!</f>
        <v>#REF!</v>
      </c>
      <c r="M27" s="55" t="e">
        <f>'BURNER STATUS'!#REF!</f>
        <v>#REF!</v>
      </c>
      <c r="N27" s="55" t="e">
        <f>'BURNER STATUS'!#REF!</f>
        <v>#REF!</v>
      </c>
      <c r="O27" s="55" t="e">
        <f>'BURNER STATUS'!#REF!</f>
        <v>#REF!</v>
      </c>
      <c r="P27" s="55" t="e">
        <f>'BURNER STATUS'!#REF!</f>
        <v>#REF!</v>
      </c>
      <c r="Q27" s="55" t="e">
        <f>'BURNER STATUS'!#REF!</f>
        <v>#REF!</v>
      </c>
      <c r="R27" s="65"/>
      <c r="S27" s="66"/>
      <c r="T27" s="66"/>
      <c r="U27" s="25"/>
      <c r="V27" s="11"/>
      <c r="W27" s="37"/>
      <c r="X27" s="37"/>
      <c r="Y27" s="12"/>
    </row>
    <row r="28" spans="2:31" ht="23.25" x14ac:dyDescent="0.35">
      <c r="B28" s="46" t="s">
        <v>7</v>
      </c>
      <c r="C28" s="55" t="str">
        <f>'BURNER STATUS'!C18</f>
        <v>N</v>
      </c>
      <c r="D28" s="55" t="str">
        <f>'BURNER STATUS'!D18</f>
        <v>O</v>
      </c>
      <c r="E28" s="55" t="str">
        <f>'BURNER STATUS'!E18</f>
        <v>N</v>
      </c>
      <c r="F28" s="55" t="str">
        <f>'BURNER STATUS'!F18</f>
        <v>N</v>
      </c>
      <c r="G28" s="55" t="str">
        <f>'BURNER STATUS'!G18</f>
        <v>C</v>
      </c>
      <c r="H28" s="55" t="str">
        <f>'BURNER STATUS'!H18</f>
        <v>O</v>
      </c>
      <c r="I28" s="55" t="str">
        <f>'BURNER STATUS'!I18</f>
        <v>N</v>
      </c>
      <c r="J28" s="55" t="str">
        <f>'BURNER STATUS'!J18</f>
        <v>N</v>
      </c>
      <c r="K28" s="55" t="str">
        <f>'BURNER STATUS'!K18</f>
        <v>B</v>
      </c>
      <c r="L28" s="55" t="str">
        <f>'BURNER STATUS'!L18</f>
        <v>B</v>
      </c>
      <c r="M28" s="55" t="str">
        <f>'BURNER STATUS'!M18</f>
        <v>B</v>
      </c>
      <c r="N28" s="55" t="str">
        <f>'BURNER STATUS'!N18</f>
        <v>B</v>
      </c>
      <c r="O28" s="55" t="str">
        <f>'BURNER STATUS'!O18</f>
        <v>B</v>
      </c>
      <c r="P28" s="55" t="str">
        <f>'BURNER STATUS'!P18</f>
        <v>B</v>
      </c>
      <c r="Q28" s="55" t="str">
        <f>'BURNER STATUS'!Q18</f>
        <v>B</v>
      </c>
      <c r="R28" s="67">
        <f t="shared" si="0"/>
        <v>9</v>
      </c>
      <c r="S28" s="68">
        <f t="shared" si="1"/>
        <v>12</v>
      </c>
      <c r="T28" s="68">
        <f t="shared" si="2"/>
        <v>21</v>
      </c>
      <c r="U28" s="25"/>
      <c r="V28" s="11"/>
      <c r="W28" s="37"/>
      <c r="X28" s="37"/>
      <c r="Y28" s="12"/>
    </row>
    <row r="29" spans="2:31" ht="23.25" x14ac:dyDescent="0.35">
      <c r="B29" s="91" t="s">
        <v>21</v>
      </c>
      <c r="C29" s="55" t="e">
        <f>'BURNER STATUS'!#REF!</f>
        <v>#REF!</v>
      </c>
      <c r="D29" s="55" t="e">
        <f>'BURNER STATUS'!#REF!</f>
        <v>#REF!</v>
      </c>
      <c r="E29" s="55" t="e">
        <f>'BURNER STATUS'!#REF!</f>
        <v>#REF!</v>
      </c>
      <c r="F29" s="55" t="e">
        <f>'BURNER STATUS'!#REF!</f>
        <v>#REF!</v>
      </c>
      <c r="G29" s="55" t="e">
        <f>'BURNER STATUS'!#REF!</f>
        <v>#REF!</v>
      </c>
      <c r="H29" s="55" t="e">
        <f>'BURNER STATUS'!#REF!</f>
        <v>#REF!</v>
      </c>
      <c r="I29" s="55" t="e">
        <f>'BURNER STATUS'!#REF!</f>
        <v>#REF!</v>
      </c>
      <c r="J29" s="55" t="e">
        <f>'BURNER STATUS'!#REF!</f>
        <v>#REF!</v>
      </c>
      <c r="K29" s="55" t="e">
        <f>'BURNER STATUS'!#REF!</f>
        <v>#REF!</v>
      </c>
      <c r="L29" s="55" t="e">
        <f>'BURNER STATUS'!#REF!</f>
        <v>#REF!</v>
      </c>
      <c r="M29" s="55" t="e">
        <f>'BURNER STATUS'!#REF!</f>
        <v>#REF!</v>
      </c>
      <c r="N29" s="55" t="e">
        <f>'BURNER STATUS'!#REF!</f>
        <v>#REF!</v>
      </c>
      <c r="O29" s="55" t="e">
        <f>'BURNER STATUS'!#REF!</f>
        <v>#REF!</v>
      </c>
      <c r="P29" s="55" t="e">
        <f>'BURNER STATUS'!#REF!</f>
        <v>#REF!</v>
      </c>
      <c r="Q29" s="55" t="e">
        <f>'BURNER STATUS'!#REF!</f>
        <v>#REF!</v>
      </c>
      <c r="R29" s="67"/>
      <c r="S29" s="68"/>
      <c r="T29" s="68"/>
      <c r="U29" s="25"/>
      <c r="V29" s="11"/>
      <c r="W29" s="37"/>
      <c r="X29" s="37"/>
      <c r="Y29" s="12"/>
    </row>
    <row r="30" spans="2:31" ht="23.25" x14ac:dyDescent="0.35">
      <c r="B30" s="46" t="s">
        <v>8</v>
      </c>
      <c r="C30" s="55" t="str">
        <f>'BURNER STATUS'!C19</f>
        <v>B</v>
      </c>
      <c r="D30" s="55" t="str">
        <f>'BURNER STATUS'!D19</f>
        <v>B</v>
      </c>
      <c r="E30" s="55" t="str">
        <f>'BURNER STATUS'!E19</f>
        <v>N</v>
      </c>
      <c r="F30" s="55" t="str">
        <f>'BURNER STATUS'!F19</f>
        <v>N</v>
      </c>
      <c r="G30" s="55" t="str">
        <f>'BURNER STATUS'!G19</f>
        <v>O</v>
      </c>
      <c r="H30" s="55" t="str">
        <f>'BURNER STATUS'!H19</f>
        <v>C</v>
      </c>
      <c r="I30" s="55" t="str">
        <f>'BURNER STATUS'!I19</f>
        <v>N</v>
      </c>
      <c r="J30" s="55" t="str">
        <f>'BURNER STATUS'!J19</f>
        <v>B</v>
      </c>
      <c r="K30" s="55" t="str">
        <f>'BURNER STATUS'!K19</f>
        <v>N</v>
      </c>
      <c r="L30" s="55" t="str">
        <f>'BURNER STATUS'!L19</f>
        <v>B</v>
      </c>
      <c r="M30" s="55" t="str">
        <f>'BURNER STATUS'!M19</f>
        <v>N</v>
      </c>
      <c r="N30" s="55" t="str">
        <f>'BURNER STATUS'!N19</f>
        <v>O</v>
      </c>
      <c r="O30" s="55" t="str">
        <f>'BURNER STATUS'!O19</f>
        <v>N</v>
      </c>
      <c r="P30" s="55" t="str">
        <f>'BURNER STATUS'!P19</f>
        <v>N</v>
      </c>
      <c r="Q30" s="55" t="str">
        <f>'BURNER STATUS'!Q19</f>
        <v>C</v>
      </c>
      <c r="R30" s="69">
        <f t="shared" si="0"/>
        <v>6</v>
      </c>
      <c r="S30" s="70">
        <f t="shared" si="1"/>
        <v>11</v>
      </c>
      <c r="T30" s="71">
        <f t="shared" si="2"/>
        <v>17</v>
      </c>
      <c r="U30" s="25"/>
      <c r="V30" s="11"/>
      <c r="W30" s="37"/>
      <c r="X30" s="37"/>
      <c r="Y30" s="12"/>
    </row>
    <row r="31" spans="2:31" ht="23.25" x14ac:dyDescent="0.35">
      <c r="B31" s="91" t="s">
        <v>21</v>
      </c>
      <c r="C31" s="55" t="e">
        <f>'BURNER STATUS'!#REF!</f>
        <v>#REF!</v>
      </c>
      <c r="D31" s="55" t="e">
        <f>'BURNER STATUS'!#REF!</f>
        <v>#REF!</v>
      </c>
      <c r="E31" s="55" t="e">
        <f>'BURNER STATUS'!#REF!</f>
        <v>#REF!</v>
      </c>
      <c r="F31" s="55" t="e">
        <f>'BURNER STATUS'!#REF!</f>
        <v>#REF!</v>
      </c>
      <c r="G31" s="55" t="e">
        <f>'BURNER STATUS'!#REF!</f>
        <v>#REF!</v>
      </c>
      <c r="H31" s="55" t="e">
        <f>'BURNER STATUS'!#REF!</f>
        <v>#REF!</v>
      </c>
      <c r="I31" s="55" t="e">
        <f>'BURNER STATUS'!#REF!</f>
        <v>#REF!</v>
      </c>
      <c r="J31" s="55" t="e">
        <f>'BURNER STATUS'!#REF!</f>
        <v>#REF!</v>
      </c>
      <c r="K31" s="55" t="e">
        <f>'BURNER STATUS'!#REF!</f>
        <v>#REF!</v>
      </c>
      <c r="L31" s="55" t="e">
        <f>'BURNER STATUS'!#REF!</f>
        <v>#REF!</v>
      </c>
      <c r="M31" s="55" t="e">
        <f>'BURNER STATUS'!#REF!</f>
        <v>#REF!</v>
      </c>
      <c r="N31" s="55" t="e">
        <f>'BURNER STATUS'!#REF!</f>
        <v>#REF!</v>
      </c>
      <c r="O31" s="55" t="e">
        <f>'BURNER STATUS'!#REF!</f>
        <v>#REF!</v>
      </c>
      <c r="P31" s="55" t="e">
        <f>'BURNER STATUS'!#REF!</f>
        <v>#REF!</v>
      </c>
      <c r="Q31" s="55" t="e">
        <f>'BURNER STATUS'!#REF!</f>
        <v>#REF!</v>
      </c>
      <c r="R31" s="69"/>
      <c r="S31" s="70"/>
      <c r="T31" s="71"/>
      <c r="U31" s="25"/>
      <c r="V31" s="11"/>
      <c r="W31" s="37"/>
      <c r="X31" s="37"/>
      <c r="Y31" s="12"/>
    </row>
    <row r="32" spans="2:31" ht="24" thickBot="1" x14ac:dyDescent="0.4">
      <c r="B32" s="10"/>
      <c r="C32" s="123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1"/>
      <c r="R32" s="63">
        <f>SUM(R20:R30)</f>
        <v>44</v>
      </c>
      <c r="S32" s="63">
        <f>SUM(S20:S30)</f>
        <v>51</v>
      </c>
      <c r="T32" s="64"/>
      <c r="U32" s="25"/>
      <c r="V32" s="11"/>
      <c r="W32" s="37"/>
      <c r="X32" s="37"/>
      <c r="Y32" s="12"/>
    </row>
    <row r="33" spans="2:25" ht="24" thickBot="1" x14ac:dyDescent="0.4">
      <c r="B33" s="10"/>
      <c r="C33" s="122" t="s">
        <v>23</v>
      </c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4"/>
      <c r="R33" s="63"/>
      <c r="S33" s="63"/>
      <c r="T33" s="64"/>
      <c r="U33" s="29" t="s">
        <v>18</v>
      </c>
      <c r="V33" s="11"/>
      <c r="W33" s="37"/>
      <c r="X33" s="37"/>
      <c r="Y33" s="12"/>
    </row>
    <row r="34" spans="2:25" ht="23.25" x14ac:dyDescent="0.35">
      <c r="B34" s="46" t="s">
        <v>1</v>
      </c>
      <c r="C34" s="55" t="str">
        <f>'BURNER STATUS'!C22</f>
        <v>C</v>
      </c>
      <c r="D34" s="55" t="str">
        <f>'BURNER STATUS'!D22</f>
        <v>C</v>
      </c>
      <c r="E34" s="55" t="str">
        <f>'BURNER STATUS'!E22</f>
        <v>N</v>
      </c>
      <c r="F34" s="55" t="str">
        <f>'BURNER STATUS'!F22</f>
        <v>C</v>
      </c>
      <c r="G34" s="55" t="str">
        <f>'BURNER STATUS'!G22</f>
        <v>C</v>
      </c>
      <c r="H34" s="55" t="str">
        <f>'BURNER STATUS'!H22</f>
        <v>C</v>
      </c>
      <c r="I34" s="55" t="str">
        <f>'BURNER STATUS'!I22</f>
        <v>C</v>
      </c>
      <c r="J34" s="55" t="str">
        <f>'BURNER STATUS'!J22</f>
        <v>C</v>
      </c>
      <c r="K34" s="55" t="str">
        <f>'BURNER STATUS'!K22</f>
        <v>C</v>
      </c>
      <c r="L34" s="55" t="str">
        <f>'BURNER STATUS'!L22</f>
        <v>C</v>
      </c>
      <c r="M34" s="55" t="str">
        <f>'BURNER STATUS'!M22</f>
        <v>C</v>
      </c>
      <c r="N34" s="55" t="str">
        <f>'BURNER STATUS'!N22</f>
        <v>C</v>
      </c>
      <c r="O34" s="55" t="str">
        <f>'BURNER STATUS'!O22</f>
        <v>C</v>
      </c>
      <c r="P34" s="55" t="str">
        <f>'BURNER STATUS'!P22</f>
        <v>C</v>
      </c>
      <c r="Q34" s="55" t="str">
        <f>'BURNER STATUS'!Q22</f>
        <v>C</v>
      </c>
      <c r="R34" s="56">
        <f t="shared" si="0"/>
        <v>0</v>
      </c>
      <c r="S34" s="57">
        <f t="shared" si="1"/>
        <v>1</v>
      </c>
      <c r="T34" s="57">
        <f t="shared" si="2"/>
        <v>1</v>
      </c>
      <c r="U34" s="25">
        <f>T34+T48</f>
        <v>5</v>
      </c>
      <c r="V34" s="11"/>
      <c r="W34" s="37">
        <f>-W6</f>
        <v>-8</v>
      </c>
      <c r="X34" s="37">
        <f>-X6</f>
        <v>-6</v>
      </c>
      <c r="Y34" s="32">
        <f>U34-U6</f>
        <v>-14</v>
      </c>
    </row>
    <row r="35" spans="2:25" ht="23.25" x14ac:dyDescent="0.35">
      <c r="B35" s="91" t="s">
        <v>21</v>
      </c>
      <c r="C35" s="55" t="e">
        <f>'BURNER STATUS'!#REF!</f>
        <v>#REF!</v>
      </c>
      <c r="D35" s="55" t="e">
        <f>'BURNER STATUS'!#REF!</f>
        <v>#REF!</v>
      </c>
      <c r="E35" s="55" t="e">
        <f>'BURNER STATUS'!#REF!</f>
        <v>#REF!</v>
      </c>
      <c r="F35" s="55" t="e">
        <f>'BURNER STATUS'!#REF!</f>
        <v>#REF!</v>
      </c>
      <c r="G35" s="55" t="e">
        <f>'BURNER STATUS'!#REF!</f>
        <v>#REF!</v>
      </c>
      <c r="H35" s="55" t="e">
        <f>'BURNER STATUS'!#REF!</f>
        <v>#REF!</v>
      </c>
      <c r="I35" s="55" t="e">
        <f>'BURNER STATUS'!#REF!</f>
        <v>#REF!</v>
      </c>
      <c r="J35" s="55" t="e">
        <f>'BURNER STATUS'!#REF!</f>
        <v>#REF!</v>
      </c>
      <c r="K35" s="55" t="e">
        <f>'BURNER STATUS'!#REF!</f>
        <v>#REF!</v>
      </c>
      <c r="L35" s="55" t="e">
        <f>'BURNER STATUS'!#REF!</f>
        <v>#REF!</v>
      </c>
      <c r="M35" s="55" t="e">
        <f>'BURNER STATUS'!#REF!</f>
        <v>#REF!</v>
      </c>
      <c r="N35" s="55" t="e">
        <f>'BURNER STATUS'!#REF!</f>
        <v>#REF!</v>
      </c>
      <c r="O35" s="55" t="e">
        <f>'BURNER STATUS'!#REF!</f>
        <v>#REF!</v>
      </c>
      <c r="P35" s="55" t="e">
        <f>'BURNER STATUS'!#REF!</f>
        <v>#REF!</v>
      </c>
      <c r="Q35" s="55" t="e">
        <f>'BURNER STATUS'!#REF!</f>
        <v>#REF!</v>
      </c>
      <c r="R35" s="56"/>
      <c r="S35" s="57"/>
      <c r="T35" s="57"/>
      <c r="U35" s="25"/>
      <c r="V35" s="11"/>
      <c r="W35" s="37"/>
      <c r="X35" s="37"/>
      <c r="Y35" s="32"/>
    </row>
    <row r="36" spans="2:25" ht="23.25" x14ac:dyDescent="0.35">
      <c r="B36" s="47" t="s">
        <v>4</v>
      </c>
      <c r="C36" s="55" t="str">
        <f>'BURNER STATUS'!C23</f>
        <v>B</v>
      </c>
      <c r="D36" s="55" t="str">
        <f>'BURNER STATUS'!D23</f>
        <v>B</v>
      </c>
      <c r="E36" s="55" t="str">
        <f>'BURNER STATUS'!E23</f>
        <v>O</v>
      </c>
      <c r="F36" s="55" t="str">
        <f>'BURNER STATUS'!F23</f>
        <v>N</v>
      </c>
      <c r="G36" s="55" t="str">
        <f>'BURNER STATUS'!G23</f>
        <v>B</v>
      </c>
      <c r="H36" s="55" t="str">
        <f>'BURNER STATUS'!H23</f>
        <v>B</v>
      </c>
      <c r="I36" s="55" t="str">
        <f>'BURNER STATUS'!I23</f>
        <v>B</v>
      </c>
      <c r="J36" s="55" t="str">
        <f>'BURNER STATUS'!J23</f>
        <v>B</v>
      </c>
      <c r="K36" s="55" t="str">
        <f>'BURNER STATUS'!K23</f>
        <v>B</v>
      </c>
      <c r="L36" s="55" t="str">
        <f>'BURNER STATUS'!L23</f>
        <v>N</v>
      </c>
      <c r="M36" s="55" t="str">
        <f>'BURNER STATUS'!M23</f>
        <v>B</v>
      </c>
      <c r="N36" s="55" t="str">
        <f>'BURNER STATUS'!N23</f>
        <v>N</v>
      </c>
      <c r="O36" s="55" t="str">
        <f>'BURNER STATUS'!O23</f>
        <v>B</v>
      </c>
      <c r="P36" s="55" t="str">
        <f>'BURNER STATUS'!P23</f>
        <v>B</v>
      </c>
      <c r="Q36" s="55" t="str">
        <f>'BURNER STATUS'!Q23</f>
        <v>N</v>
      </c>
      <c r="R36" s="60">
        <f t="shared" si="0"/>
        <v>11</v>
      </c>
      <c r="S36" s="61">
        <f t="shared" si="1"/>
        <v>14</v>
      </c>
      <c r="T36" s="61">
        <f t="shared" si="2"/>
        <v>25</v>
      </c>
      <c r="U36" s="25">
        <f>T36+T50</f>
        <v>50</v>
      </c>
      <c r="V36" s="11"/>
      <c r="W36" s="37">
        <f t="shared" ref="W36:X36" si="6">-W8</f>
        <v>2</v>
      </c>
      <c r="X36" s="37">
        <f t="shared" si="6"/>
        <v>13</v>
      </c>
      <c r="Y36" s="32">
        <f>U36-U8</f>
        <v>15</v>
      </c>
    </row>
    <row r="37" spans="2:25" ht="23.25" x14ac:dyDescent="0.35">
      <c r="B37" s="91" t="s">
        <v>21</v>
      </c>
      <c r="C37" s="55" t="e">
        <f>'BURNER STATUS'!#REF!</f>
        <v>#REF!</v>
      </c>
      <c r="D37" s="55" t="e">
        <f>'BURNER STATUS'!#REF!</f>
        <v>#REF!</v>
      </c>
      <c r="E37" s="55" t="e">
        <f>'BURNER STATUS'!#REF!</f>
        <v>#REF!</v>
      </c>
      <c r="F37" s="55" t="e">
        <f>'BURNER STATUS'!#REF!</f>
        <v>#REF!</v>
      </c>
      <c r="G37" s="55" t="e">
        <f>'BURNER STATUS'!#REF!</f>
        <v>#REF!</v>
      </c>
      <c r="H37" s="55" t="e">
        <f>'BURNER STATUS'!#REF!</f>
        <v>#REF!</v>
      </c>
      <c r="I37" s="55" t="e">
        <f>'BURNER STATUS'!#REF!</f>
        <v>#REF!</v>
      </c>
      <c r="J37" s="55" t="e">
        <f>'BURNER STATUS'!#REF!</f>
        <v>#REF!</v>
      </c>
      <c r="K37" s="55" t="e">
        <f>'BURNER STATUS'!#REF!</f>
        <v>#REF!</v>
      </c>
      <c r="L37" s="55" t="e">
        <f>'BURNER STATUS'!#REF!</f>
        <v>#REF!</v>
      </c>
      <c r="M37" s="55" t="e">
        <f>'BURNER STATUS'!#REF!</f>
        <v>#REF!</v>
      </c>
      <c r="N37" s="55" t="e">
        <f>'BURNER STATUS'!#REF!</f>
        <v>#REF!</v>
      </c>
      <c r="O37" s="55" t="e">
        <f>'BURNER STATUS'!#REF!</f>
        <v>#REF!</v>
      </c>
      <c r="P37" s="55" t="e">
        <f>'BURNER STATUS'!#REF!</f>
        <v>#REF!</v>
      </c>
      <c r="Q37" s="55" t="e">
        <f>'BURNER STATUS'!#REF!</f>
        <v>#REF!</v>
      </c>
      <c r="R37" s="60"/>
      <c r="S37" s="61"/>
      <c r="T37" s="61"/>
      <c r="U37" s="25"/>
      <c r="V37" s="11"/>
      <c r="W37" s="37"/>
      <c r="X37" s="37"/>
      <c r="Y37" s="32"/>
    </row>
    <row r="38" spans="2:25" ht="23.25" x14ac:dyDescent="0.35">
      <c r="B38" s="46" t="s">
        <v>5</v>
      </c>
      <c r="C38" s="55" t="str">
        <f>'BURNER STATUS'!C24</f>
        <v>B</v>
      </c>
      <c r="D38" s="55" t="str">
        <f>'BURNER STATUS'!D24</f>
        <v>B</v>
      </c>
      <c r="E38" s="55" t="str">
        <f>'BURNER STATUS'!E24</f>
        <v>O</v>
      </c>
      <c r="F38" s="55" t="str">
        <f>'BURNER STATUS'!F24</f>
        <v>B</v>
      </c>
      <c r="G38" s="55" t="str">
        <f>'BURNER STATUS'!G24</f>
        <v>O</v>
      </c>
      <c r="H38" s="55" t="str">
        <f>'BURNER STATUS'!H24</f>
        <v>O</v>
      </c>
      <c r="I38" s="55" t="str">
        <f>'BURNER STATUS'!I24</f>
        <v>O</v>
      </c>
      <c r="J38" s="55" t="str">
        <f>'BURNER STATUS'!J24</f>
        <v>B</v>
      </c>
      <c r="K38" s="55" t="str">
        <f>'BURNER STATUS'!K24</f>
        <v>B</v>
      </c>
      <c r="L38" s="55" t="str">
        <f>'BURNER STATUS'!L24</f>
        <v>C</v>
      </c>
      <c r="M38" s="55" t="str">
        <f>'BURNER STATUS'!M24</f>
        <v>O</v>
      </c>
      <c r="N38" s="55" t="str">
        <f>'BURNER STATUS'!N24</f>
        <v>O</v>
      </c>
      <c r="O38" s="55" t="str">
        <f>'BURNER STATUS'!O24</f>
        <v>O</v>
      </c>
      <c r="P38" s="55" t="str">
        <f>'BURNER STATUS'!P24</f>
        <v>O</v>
      </c>
      <c r="Q38" s="55" t="str">
        <f>'BURNER STATUS'!Q24</f>
        <v>B</v>
      </c>
      <c r="R38" s="62">
        <f t="shared" si="0"/>
        <v>14</v>
      </c>
      <c r="S38" s="63">
        <f t="shared" si="1"/>
        <v>6</v>
      </c>
      <c r="T38" s="64">
        <f t="shared" si="2"/>
        <v>20</v>
      </c>
      <c r="U38" s="25">
        <f>T38+T52</f>
        <v>35</v>
      </c>
      <c r="V38" s="11"/>
      <c r="W38" s="37">
        <f t="shared" ref="W38:X38" si="7">-W10</f>
        <v>11</v>
      </c>
      <c r="X38" s="37">
        <f t="shared" si="7"/>
        <v>-1</v>
      </c>
      <c r="Y38" s="32">
        <f>U38-U10</f>
        <v>10</v>
      </c>
    </row>
    <row r="39" spans="2:25" ht="23.25" x14ac:dyDescent="0.35">
      <c r="B39" s="91" t="s">
        <v>21</v>
      </c>
      <c r="C39" s="55" t="e">
        <f>'BURNER STATUS'!#REF!</f>
        <v>#REF!</v>
      </c>
      <c r="D39" s="55" t="e">
        <f>'BURNER STATUS'!#REF!</f>
        <v>#REF!</v>
      </c>
      <c r="E39" s="55" t="e">
        <f>'BURNER STATUS'!#REF!</f>
        <v>#REF!</v>
      </c>
      <c r="F39" s="55" t="e">
        <f>'BURNER STATUS'!#REF!</f>
        <v>#REF!</v>
      </c>
      <c r="G39" s="55" t="e">
        <f>'BURNER STATUS'!#REF!</f>
        <v>#REF!</v>
      </c>
      <c r="H39" s="55" t="e">
        <f>'BURNER STATUS'!#REF!</f>
        <v>#REF!</v>
      </c>
      <c r="I39" s="55" t="e">
        <f>'BURNER STATUS'!#REF!</f>
        <v>#REF!</v>
      </c>
      <c r="J39" s="55" t="e">
        <f>'BURNER STATUS'!#REF!</f>
        <v>#REF!</v>
      </c>
      <c r="K39" s="55" t="e">
        <f>'BURNER STATUS'!#REF!</f>
        <v>#REF!</v>
      </c>
      <c r="L39" s="55" t="e">
        <f>'BURNER STATUS'!#REF!</f>
        <v>#REF!</v>
      </c>
      <c r="M39" s="55" t="e">
        <f>'BURNER STATUS'!#REF!</f>
        <v>#REF!</v>
      </c>
      <c r="N39" s="55" t="e">
        <f>'BURNER STATUS'!#REF!</f>
        <v>#REF!</v>
      </c>
      <c r="O39" s="55" t="e">
        <f>'BURNER STATUS'!#REF!</f>
        <v>#REF!</v>
      </c>
      <c r="P39" s="55" t="e">
        <f>'BURNER STATUS'!#REF!</f>
        <v>#REF!</v>
      </c>
      <c r="Q39" s="55" t="e">
        <f>'BURNER STATUS'!#REF!</f>
        <v>#REF!</v>
      </c>
      <c r="R39" s="62"/>
      <c r="S39" s="63"/>
      <c r="T39" s="64"/>
      <c r="U39" s="25"/>
      <c r="V39" s="11"/>
      <c r="W39" s="37"/>
      <c r="X39" s="37"/>
      <c r="Y39" s="32"/>
    </row>
    <row r="40" spans="2:25" ht="23.25" x14ac:dyDescent="0.35">
      <c r="B40" s="47" t="s">
        <v>6</v>
      </c>
      <c r="C40" s="55" t="str">
        <f>'BURNER STATUS'!C25</f>
        <v>C</v>
      </c>
      <c r="D40" s="55" t="str">
        <f>'BURNER STATUS'!D25</f>
        <v>O</v>
      </c>
      <c r="E40" s="55" t="str">
        <f>'BURNER STATUS'!E25</f>
        <v>C</v>
      </c>
      <c r="F40" s="55" t="str">
        <f>'BURNER STATUS'!F25</f>
        <v>B</v>
      </c>
      <c r="G40" s="55" t="str">
        <f>'BURNER STATUS'!G25</f>
        <v>N</v>
      </c>
      <c r="H40" s="55" t="str">
        <f>'BURNER STATUS'!H25</f>
        <v>C</v>
      </c>
      <c r="I40" s="55" t="str">
        <f>'BURNER STATUS'!I25</f>
        <v>B</v>
      </c>
      <c r="J40" s="55" t="str">
        <f>'BURNER STATUS'!J25</f>
        <v>O</v>
      </c>
      <c r="K40" s="55" t="str">
        <f>'BURNER STATUS'!K25</f>
        <v>N</v>
      </c>
      <c r="L40" s="55" t="str">
        <f>'BURNER STATUS'!L25</f>
        <v>C</v>
      </c>
      <c r="M40" s="55" t="str">
        <f>'BURNER STATUS'!M25</f>
        <v>C</v>
      </c>
      <c r="N40" s="55" t="str">
        <f>'BURNER STATUS'!N25</f>
        <v>N</v>
      </c>
      <c r="O40" s="55" t="str">
        <f>'BURNER STATUS'!O25</f>
        <v>C</v>
      </c>
      <c r="P40" s="55" t="str">
        <f>'BURNER STATUS'!P25</f>
        <v>N</v>
      </c>
      <c r="Q40" s="55" t="str">
        <f>'BURNER STATUS'!Q25</f>
        <v>N</v>
      </c>
      <c r="R40" s="65">
        <f t="shared" si="0"/>
        <v>4</v>
      </c>
      <c r="S40" s="66">
        <f t="shared" si="1"/>
        <v>7</v>
      </c>
      <c r="T40" s="66">
        <f t="shared" si="2"/>
        <v>11</v>
      </c>
      <c r="U40" s="25">
        <f>T40+T54</f>
        <v>19</v>
      </c>
      <c r="V40" s="11"/>
      <c r="W40" s="37">
        <f t="shared" ref="W40:X40" si="8">-W12</f>
        <v>-1</v>
      </c>
      <c r="X40" s="37">
        <f t="shared" si="8"/>
        <v>-4</v>
      </c>
      <c r="Y40" s="32">
        <f>U40-U12</f>
        <v>-5</v>
      </c>
    </row>
    <row r="41" spans="2:25" ht="23.25" x14ac:dyDescent="0.35">
      <c r="B41" s="91" t="s">
        <v>21</v>
      </c>
      <c r="C41" s="55" t="e">
        <f>'BURNER STATUS'!#REF!</f>
        <v>#REF!</v>
      </c>
      <c r="D41" s="55" t="e">
        <f>'BURNER STATUS'!#REF!</f>
        <v>#REF!</v>
      </c>
      <c r="E41" s="55" t="e">
        <f>'BURNER STATUS'!#REF!</f>
        <v>#REF!</v>
      </c>
      <c r="F41" s="55" t="e">
        <f>'BURNER STATUS'!#REF!</f>
        <v>#REF!</v>
      </c>
      <c r="G41" s="55" t="e">
        <f>'BURNER STATUS'!#REF!</f>
        <v>#REF!</v>
      </c>
      <c r="H41" s="55" t="e">
        <f>'BURNER STATUS'!#REF!</f>
        <v>#REF!</v>
      </c>
      <c r="I41" s="55" t="e">
        <f>'BURNER STATUS'!#REF!</f>
        <v>#REF!</v>
      </c>
      <c r="J41" s="55" t="e">
        <f>'BURNER STATUS'!#REF!</f>
        <v>#REF!</v>
      </c>
      <c r="K41" s="55" t="e">
        <f>'BURNER STATUS'!#REF!</f>
        <v>#REF!</v>
      </c>
      <c r="L41" s="55" t="e">
        <f>'BURNER STATUS'!#REF!</f>
        <v>#REF!</v>
      </c>
      <c r="M41" s="55" t="e">
        <f>'BURNER STATUS'!#REF!</f>
        <v>#REF!</v>
      </c>
      <c r="N41" s="55" t="e">
        <f>'BURNER STATUS'!#REF!</f>
        <v>#REF!</v>
      </c>
      <c r="O41" s="55" t="e">
        <f>'BURNER STATUS'!#REF!</f>
        <v>#REF!</v>
      </c>
      <c r="P41" s="55" t="e">
        <f>'BURNER STATUS'!#REF!</f>
        <v>#REF!</v>
      </c>
      <c r="Q41" s="55" t="e">
        <f>'BURNER STATUS'!#REF!</f>
        <v>#REF!</v>
      </c>
      <c r="R41" s="65"/>
      <c r="S41" s="66"/>
      <c r="T41" s="66"/>
      <c r="U41" s="25"/>
      <c r="V41" s="11"/>
      <c r="W41" s="37"/>
      <c r="X41" s="37"/>
      <c r="Y41" s="32"/>
    </row>
    <row r="42" spans="2:25" ht="23.25" x14ac:dyDescent="0.35">
      <c r="B42" s="46" t="s">
        <v>7</v>
      </c>
      <c r="C42" s="55" t="str">
        <f>'BURNER STATUS'!C26</f>
        <v>B</v>
      </c>
      <c r="D42" s="55" t="str">
        <f>'BURNER STATUS'!D26</f>
        <v>B</v>
      </c>
      <c r="E42" s="55" t="str">
        <f>'BURNER STATUS'!E26</f>
        <v>B</v>
      </c>
      <c r="F42" s="55" t="str">
        <f>'BURNER STATUS'!F26</f>
        <v>B</v>
      </c>
      <c r="G42" s="55" t="str">
        <f>'BURNER STATUS'!G26</f>
        <v>B</v>
      </c>
      <c r="H42" s="55" t="str">
        <f>'BURNER STATUS'!H26</f>
        <v>B</v>
      </c>
      <c r="I42" s="55" t="str">
        <f>'BURNER STATUS'!I26</f>
        <v>C</v>
      </c>
      <c r="J42" s="55" t="str">
        <f>'BURNER STATUS'!J26</f>
        <v>O</v>
      </c>
      <c r="K42" s="55" t="str">
        <f>'BURNER STATUS'!K26</f>
        <v>O</v>
      </c>
      <c r="L42" s="55" t="str">
        <f>'BURNER STATUS'!L26</f>
        <v>O</v>
      </c>
      <c r="M42" s="55" t="str">
        <f>'BURNER STATUS'!M26</f>
        <v>O</v>
      </c>
      <c r="N42" s="55" t="str">
        <f>'BURNER STATUS'!N26</f>
        <v>B</v>
      </c>
      <c r="O42" s="55" t="str">
        <f>'BURNER STATUS'!O26</f>
        <v>B</v>
      </c>
      <c r="P42" s="55" t="str">
        <f>'BURNER STATUS'!P26</f>
        <v>B</v>
      </c>
      <c r="Q42" s="55" t="str">
        <f>'BURNER STATUS'!Q26</f>
        <v>B</v>
      </c>
      <c r="R42" s="67">
        <f t="shared" si="0"/>
        <v>14</v>
      </c>
      <c r="S42" s="68">
        <f t="shared" si="1"/>
        <v>10</v>
      </c>
      <c r="T42" s="68">
        <f t="shared" si="2"/>
        <v>24</v>
      </c>
      <c r="U42" s="25">
        <f>T42+T56</f>
        <v>38</v>
      </c>
      <c r="V42" s="11"/>
      <c r="W42" s="37">
        <f t="shared" ref="W42:X42" si="9">-W14</f>
        <v>5</v>
      </c>
      <c r="X42" s="37">
        <f t="shared" si="9"/>
        <v>-7</v>
      </c>
      <c r="Y42" s="32">
        <f>U42-U14</f>
        <v>-2</v>
      </c>
    </row>
    <row r="43" spans="2:25" ht="23.25" x14ac:dyDescent="0.35">
      <c r="B43" s="91" t="s">
        <v>21</v>
      </c>
      <c r="C43" s="55" t="e">
        <f>'BURNER STATUS'!#REF!</f>
        <v>#REF!</v>
      </c>
      <c r="D43" s="55" t="e">
        <f>'BURNER STATUS'!#REF!</f>
        <v>#REF!</v>
      </c>
      <c r="E43" s="55" t="e">
        <f>'BURNER STATUS'!#REF!</f>
        <v>#REF!</v>
      </c>
      <c r="F43" s="55" t="e">
        <f>'BURNER STATUS'!#REF!</f>
        <v>#REF!</v>
      </c>
      <c r="G43" s="55" t="e">
        <f>'BURNER STATUS'!#REF!</f>
        <v>#REF!</v>
      </c>
      <c r="H43" s="55" t="e">
        <f>'BURNER STATUS'!#REF!</f>
        <v>#REF!</v>
      </c>
      <c r="I43" s="55" t="e">
        <f>'BURNER STATUS'!#REF!</f>
        <v>#REF!</v>
      </c>
      <c r="J43" s="55" t="e">
        <f>'BURNER STATUS'!#REF!</f>
        <v>#REF!</v>
      </c>
      <c r="K43" s="55" t="e">
        <f>'BURNER STATUS'!#REF!</f>
        <v>#REF!</v>
      </c>
      <c r="L43" s="55" t="e">
        <f>'BURNER STATUS'!#REF!</f>
        <v>#REF!</v>
      </c>
      <c r="M43" s="55" t="e">
        <f>'BURNER STATUS'!#REF!</f>
        <v>#REF!</v>
      </c>
      <c r="N43" s="55" t="e">
        <f>'BURNER STATUS'!#REF!</f>
        <v>#REF!</v>
      </c>
      <c r="O43" s="55" t="e">
        <f>'BURNER STATUS'!#REF!</f>
        <v>#REF!</v>
      </c>
      <c r="P43" s="55" t="e">
        <f>'BURNER STATUS'!#REF!</f>
        <v>#REF!</v>
      </c>
      <c r="Q43" s="55" t="e">
        <f>'BURNER STATUS'!#REF!</f>
        <v>#REF!</v>
      </c>
      <c r="R43" s="67"/>
      <c r="S43" s="68"/>
      <c r="T43" s="93"/>
      <c r="U43" s="26"/>
      <c r="V43" s="16"/>
      <c r="W43" s="37"/>
      <c r="X43" s="37"/>
      <c r="Y43" s="33"/>
    </row>
    <row r="44" spans="2:25" ht="23.25" x14ac:dyDescent="0.35">
      <c r="B44" s="46" t="s">
        <v>8</v>
      </c>
      <c r="C44" s="55" t="str">
        <f>'BURNER STATUS'!C27</f>
        <v>N</v>
      </c>
      <c r="D44" s="55" t="str">
        <f>'BURNER STATUS'!D27</f>
        <v>N</v>
      </c>
      <c r="E44" s="55" t="str">
        <f>'BURNER STATUS'!E27</f>
        <v>B</v>
      </c>
      <c r="F44" s="55" t="str">
        <f>'BURNER STATUS'!F27</f>
        <v>B</v>
      </c>
      <c r="G44" s="55" t="str">
        <f>'BURNER STATUS'!G27</f>
        <v>B</v>
      </c>
      <c r="H44" s="55" t="str">
        <f>'BURNER STATUS'!H27</f>
        <v>B</v>
      </c>
      <c r="I44" s="55" t="str">
        <f>'BURNER STATUS'!I27</f>
        <v>B</v>
      </c>
      <c r="J44" s="55" t="str">
        <f>'BURNER STATUS'!J27</f>
        <v>B</v>
      </c>
      <c r="K44" s="55" t="str">
        <f>'BURNER STATUS'!K27</f>
        <v>O</v>
      </c>
      <c r="L44" s="55" t="str">
        <f>'BURNER STATUS'!L27</f>
        <v>B</v>
      </c>
      <c r="M44" s="55" t="str">
        <f>'BURNER STATUS'!M27</f>
        <v>N</v>
      </c>
      <c r="N44" s="55" t="str">
        <f>'BURNER STATUS'!N27</f>
        <v>B</v>
      </c>
      <c r="O44" s="55" t="str">
        <f>'BURNER STATUS'!O27</f>
        <v>B</v>
      </c>
      <c r="P44" s="55" t="str">
        <f>'BURNER STATUS'!P27</f>
        <v>B</v>
      </c>
      <c r="Q44" s="55" t="str">
        <f>'BURNER STATUS'!Q27</f>
        <v>B</v>
      </c>
      <c r="R44" s="69">
        <f t="shared" si="0"/>
        <v>12</v>
      </c>
      <c r="S44" s="70">
        <f t="shared" si="1"/>
        <v>14</v>
      </c>
      <c r="T44" s="73">
        <f t="shared" si="2"/>
        <v>26</v>
      </c>
      <c r="U44" s="26">
        <f t="shared" ref="U44" si="10">T44+T58</f>
        <v>47</v>
      </c>
      <c r="V44" s="16"/>
      <c r="W44" s="37">
        <f t="shared" ref="W44:X44" si="11">-W16</f>
        <v>14</v>
      </c>
      <c r="X44" s="37">
        <f t="shared" si="11"/>
        <v>2</v>
      </c>
      <c r="Y44" s="33">
        <f t="shared" ref="Y44" si="12">U44-U16</f>
        <v>16</v>
      </c>
    </row>
    <row r="45" spans="2:25" ht="23.25" x14ac:dyDescent="0.35">
      <c r="B45" s="91" t="s">
        <v>21</v>
      </c>
      <c r="C45" s="55" t="e">
        <f>'BURNER STATUS'!#REF!</f>
        <v>#REF!</v>
      </c>
      <c r="D45" s="55" t="e">
        <f>'BURNER STATUS'!#REF!</f>
        <v>#REF!</v>
      </c>
      <c r="E45" s="55" t="e">
        <f>'BURNER STATUS'!#REF!</f>
        <v>#REF!</v>
      </c>
      <c r="F45" s="55" t="e">
        <f>'BURNER STATUS'!#REF!</f>
        <v>#REF!</v>
      </c>
      <c r="G45" s="55" t="e">
        <f>'BURNER STATUS'!#REF!</f>
        <v>#REF!</v>
      </c>
      <c r="H45" s="55" t="e">
        <f>'BURNER STATUS'!#REF!</f>
        <v>#REF!</v>
      </c>
      <c r="I45" s="55" t="e">
        <f>'BURNER STATUS'!#REF!</f>
        <v>#REF!</v>
      </c>
      <c r="J45" s="55" t="e">
        <f>'BURNER STATUS'!#REF!</f>
        <v>#REF!</v>
      </c>
      <c r="K45" s="55" t="e">
        <f>'BURNER STATUS'!#REF!</f>
        <v>#REF!</v>
      </c>
      <c r="L45" s="55" t="e">
        <f>'BURNER STATUS'!#REF!</f>
        <v>#REF!</v>
      </c>
      <c r="M45" s="55" t="e">
        <f>'BURNER STATUS'!#REF!</f>
        <v>#REF!</v>
      </c>
      <c r="N45" s="55" t="e">
        <f>'BURNER STATUS'!#REF!</f>
        <v>#REF!</v>
      </c>
      <c r="O45" s="55" t="e">
        <f>'BURNER STATUS'!#REF!</f>
        <v>#REF!</v>
      </c>
      <c r="P45" s="55" t="e">
        <f>'BURNER STATUS'!#REF!</f>
        <v>#REF!</v>
      </c>
      <c r="Q45" s="55" t="e">
        <f>'BURNER STATUS'!#REF!</f>
        <v>#REF!</v>
      </c>
      <c r="R45" s="69"/>
      <c r="S45" s="70"/>
      <c r="T45" s="73"/>
      <c r="U45" s="26"/>
      <c r="V45" s="16"/>
      <c r="W45" s="37"/>
      <c r="X45" s="37"/>
      <c r="Y45" s="33"/>
    </row>
    <row r="46" spans="2:25" ht="24" thickBot="1" x14ac:dyDescent="0.4">
      <c r="B46" s="10"/>
      <c r="C46" s="123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1"/>
      <c r="R46" s="63">
        <f>SUM(R34:R44)</f>
        <v>55</v>
      </c>
      <c r="S46" s="63">
        <f>SUM(S34:S44)</f>
        <v>52</v>
      </c>
      <c r="T46" s="74"/>
      <c r="U46" s="23">
        <f>SUM(U34:U44)</f>
        <v>194</v>
      </c>
      <c r="V46" s="17"/>
      <c r="W46" s="38"/>
      <c r="X46" s="38"/>
      <c r="Y46" s="18"/>
    </row>
    <row r="47" spans="2:25" ht="24" thickBot="1" x14ac:dyDescent="0.4">
      <c r="B47" s="10"/>
      <c r="C47" s="122" t="s">
        <v>24</v>
      </c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4"/>
      <c r="R47" s="63"/>
      <c r="S47" s="63"/>
      <c r="T47" s="75"/>
      <c r="U47" s="27"/>
      <c r="V47" s="21"/>
      <c r="W47" s="39"/>
      <c r="X47" s="39"/>
      <c r="Y47" s="22"/>
    </row>
    <row r="48" spans="2:25" ht="23.25" x14ac:dyDescent="0.35">
      <c r="B48" s="46" t="s">
        <v>1</v>
      </c>
      <c r="C48" s="55" t="str">
        <f>'BURNER STATUS'!C30</f>
        <v>O</v>
      </c>
      <c r="D48" s="55" t="str">
        <f>'BURNER STATUS'!D30</f>
        <v>O</v>
      </c>
      <c r="E48" s="55" t="str">
        <f>'BURNER STATUS'!E30</f>
        <v>N</v>
      </c>
      <c r="F48" s="55" t="str">
        <f>'BURNER STATUS'!F30</f>
        <v>N</v>
      </c>
      <c r="G48" s="55" t="str">
        <f>'BURNER STATUS'!G30</f>
        <v>C</v>
      </c>
      <c r="H48" s="55" t="str">
        <f>'BURNER STATUS'!H30</f>
        <v>C</v>
      </c>
      <c r="I48" s="55" t="str">
        <f>'BURNER STATUS'!I30</f>
        <v>C</v>
      </c>
      <c r="J48" s="55" t="str">
        <f>'BURNER STATUS'!J30</f>
        <v>C</v>
      </c>
      <c r="K48" s="55" t="str">
        <f>'BURNER STATUS'!K30</f>
        <v>C</v>
      </c>
      <c r="L48" s="55" t="str">
        <f>'BURNER STATUS'!L30</f>
        <v>C</v>
      </c>
      <c r="M48" s="55" t="str">
        <f>'BURNER STATUS'!M30</f>
        <v>C</v>
      </c>
      <c r="N48" s="55" t="str">
        <f>'BURNER STATUS'!N30</f>
        <v>C</v>
      </c>
      <c r="O48" s="55" t="str">
        <f>'BURNER STATUS'!O30</f>
        <v>C</v>
      </c>
      <c r="P48" s="55" t="str">
        <f>'BURNER STATUS'!P30</f>
        <v>C</v>
      </c>
      <c r="Q48" s="55" t="str">
        <f>'BURNER STATUS'!Q30</f>
        <v>C</v>
      </c>
      <c r="R48" s="56">
        <f t="shared" si="0"/>
        <v>2</v>
      </c>
      <c r="S48" s="57">
        <f t="shared" si="1"/>
        <v>2</v>
      </c>
      <c r="T48" s="57">
        <f t="shared" si="2"/>
        <v>4</v>
      </c>
      <c r="U48" s="23"/>
      <c r="V48" s="17"/>
      <c r="W48" s="38"/>
      <c r="X48" s="38"/>
      <c r="Y48" s="18"/>
    </row>
    <row r="49" spans="2:25" ht="23.25" x14ac:dyDescent="0.35">
      <c r="B49" s="91" t="s">
        <v>21</v>
      </c>
      <c r="C49" s="55" t="e">
        <f>'BURNER STATUS'!#REF!</f>
        <v>#REF!</v>
      </c>
      <c r="D49" s="55" t="e">
        <f>'BURNER STATUS'!#REF!</f>
        <v>#REF!</v>
      </c>
      <c r="E49" s="55" t="e">
        <f>'BURNER STATUS'!#REF!</f>
        <v>#REF!</v>
      </c>
      <c r="F49" s="55" t="e">
        <f>'BURNER STATUS'!#REF!</f>
        <v>#REF!</v>
      </c>
      <c r="G49" s="55" t="e">
        <f>'BURNER STATUS'!#REF!</f>
        <v>#REF!</v>
      </c>
      <c r="H49" s="55" t="e">
        <f>'BURNER STATUS'!#REF!</f>
        <v>#REF!</v>
      </c>
      <c r="I49" s="55" t="e">
        <f>'BURNER STATUS'!#REF!</f>
        <v>#REF!</v>
      </c>
      <c r="J49" s="55" t="e">
        <f>'BURNER STATUS'!#REF!</f>
        <v>#REF!</v>
      </c>
      <c r="K49" s="55" t="e">
        <f>'BURNER STATUS'!#REF!</f>
        <v>#REF!</v>
      </c>
      <c r="L49" s="55" t="e">
        <f>'BURNER STATUS'!#REF!</f>
        <v>#REF!</v>
      </c>
      <c r="M49" s="55" t="e">
        <f>'BURNER STATUS'!#REF!</f>
        <v>#REF!</v>
      </c>
      <c r="N49" s="55" t="e">
        <f>'BURNER STATUS'!#REF!</f>
        <v>#REF!</v>
      </c>
      <c r="O49" s="55" t="e">
        <f>'BURNER STATUS'!#REF!</f>
        <v>#REF!</v>
      </c>
      <c r="P49" s="55" t="e">
        <f>'BURNER STATUS'!#REF!</f>
        <v>#REF!</v>
      </c>
      <c r="Q49" s="55" t="e">
        <f>'BURNER STATUS'!#REF!</f>
        <v>#REF!</v>
      </c>
      <c r="R49" s="56"/>
      <c r="S49" s="57"/>
      <c r="T49" s="57"/>
      <c r="U49" s="23"/>
      <c r="V49" s="17"/>
      <c r="W49" s="38"/>
      <c r="X49" s="38"/>
      <c r="Y49" s="18"/>
    </row>
    <row r="50" spans="2:25" ht="23.25" x14ac:dyDescent="0.35">
      <c r="B50" s="47" t="s">
        <v>4</v>
      </c>
      <c r="C50" s="55" t="str">
        <f>'BURNER STATUS'!C31</f>
        <v>B</v>
      </c>
      <c r="D50" s="55" t="str">
        <f>'BURNER STATUS'!D31</f>
        <v>B</v>
      </c>
      <c r="E50" s="55" t="str">
        <f>'BURNER STATUS'!E31</f>
        <v>B</v>
      </c>
      <c r="F50" s="55" t="str">
        <f>'BURNER STATUS'!F31</f>
        <v>N</v>
      </c>
      <c r="G50" s="55" t="str">
        <f>'BURNER STATUS'!G31</f>
        <v>N</v>
      </c>
      <c r="H50" s="55" t="str">
        <f>'BURNER STATUS'!H31</f>
        <v>B</v>
      </c>
      <c r="I50" s="55" t="str">
        <f>'BURNER STATUS'!I31</f>
        <v>B</v>
      </c>
      <c r="J50" s="55" t="str">
        <f>'BURNER STATUS'!J31</f>
        <v>B</v>
      </c>
      <c r="K50" s="55" t="str">
        <f>'BURNER STATUS'!K31</f>
        <v>B</v>
      </c>
      <c r="L50" s="55" t="str">
        <f>'BURNER STATUS'!L31</f>
        <v>B</v>
      </c>
      <c r="M50" s="55" t="str">
        <f>'BURNER STATUS'!M31</f>
        <v>N</v>
      </c>
      <c r="N50" s="55" t="str">
        <f>'BURNER STATUS'!N31</f>
        <v>B</v>
      </c>
      <c r="O50" s="55" t="str">
        <f>'BURNER STATUS'!O31</f>
        <v>N</v>
      </c>
      <c r="P50" s="55" t="str">
        <f>'BURNER STATUS'!P31</f>
        <v>B</v>
      </c>
      <c r="Q50" s="55" t="str">
        <f>'BURNER STATUS'!Q31</f>
        <v>N</v>
      </c>
      <c r="R50" s="60">
        <f t="shared" si="0"/>
        <v>10</v>
      </c>
      <c r="S50" s="61">
        <f t="shared" si="1"/>
        <v>15</v>
      </c>
      <c r="T50" s="61">
        <f t="shared" si="2"/>
        <v>25</v>
      </c>
      <c r="U50" s="23"/>
      <c r="V50" s="17"/>
      <c r="W50" s="38"/>
      <c r="X50" s="38"/>
      <c r="Y50" s="18"/>
    </row>
    <row r="51" spans="2:25" ht="23.25" x14ac:dyDescent="0.35">
      <c r="B51" s="91" t="s">
        <v>21</v>
      </c>
      <c r="C51" s="55" t="e">
        <f>'BURNER STATUS'!#REF!</f>
        <v>#REF!</v>
      </c>
      <c r="D51" s="55" t="e">
        <f>'BURNER STATUS'!#REF!</f>
        <v>#REF!</v>
      </c>
      <c r="E51" s="55" t="e">
        <f>'BURNER STATUS'!#REF!</f>
        <v>#REF!</v>
      </c>
      <c r="F51" s="55" t="e">
        <f>'BURNER STATUS'!#REF!</f>
        <v>#REF!</v>
      </c>
      <c r="G51" s="55" t="e">
        <f>'BURNER STATUS'!#REF!</f>
        <v>#REF!</v>
      </c>
      <c r="H51" s="55" t="e">
        <f>'BURNER STATUS'!#REF!</f>
        <v>#REF!</v>
      </c>
      <c r="I51" s="55" t="e">
        <f>'BURNER STATUS'!#REF!</f>
        <v>#REF!</v>
      </c>
      <c r="J51" s="55" t="e">
        <f>'BURNER STATUS'!#REF!</f>
        <v>#REF!</v>
      </c>
      <c r="K51" s="55" t="e">
        <f>'BURNER STATUS'!#REF!</f>
        <v>#REF!</v>
      </c>
      <c r="L51" s="55" t="e">
        <f>'BURNER STATUS'!#REF!</f>
        <v>#REF!</v>
      </c>
      <c r="M51" s="55" t="e">
        <f>'BURNER STATUS'!#REF!</f>
        <v>#REF!</v>
      </c>
      <c r="N51" s="55" t="e">
        <f>'BURNER STATUS'!#REF!</f>
        <v>#REF!</v>
      </c>
      <c r="O51" s="55" t="e">
        <f>'BURNER STATUS'!#REF!</f>
        <v>#REF!</v>
      </c>
      <c r="P51" s="55" t="e">
        <f>'BURNER STATUS'!#REF!</f>
        <v>#REF!</v>
      </c>
      <c r="Q51" s="55" t="e">
        <f>'BURNER STATUS'!#REF!</f>
        <v>#REF!</v>
      </c>
      <c r="R51" s="60"/>
      <c r="S51" s="61"/>
      <c r="T51" s="61"/>
      <c r="U51" s="23"/>
      <c r="V51" s="17"/>
      <c r="W51" s="38"/>
      <c r="X51" s="38"/>
      <c r="Y51" s="18"/>
    </row>
    <row r="52" spans="2:25" ht="23.25" x14ac:dyDescent="0.35">
      <c r="B52" s="46" t="s">
        <v>5</v>
      </c>
      <c r="C52" s="55" t="str">
        <f>'BURNER STATUS'!C32</f>
        <v>B</v>
      </c>
      <c r="D52" s="55" t="str">
        <f>'BURNER STATUS'!D32</f>
        <v>O</v>
      </c>
      <c r="E52" s="55" t="str">
        <f>'BURNER STATUS'!E32</f>
        <v>C</v>
      </c>
      <c r="F52" s="55" t="str">
        <f>'BURNER STATUS'!F32</f>
        <v>O</v>
      </c>
      <c r="G52" s="55" t="str">
        <f>'BURNER STATUS'!G32</f>
        <v>O</v>
      </c>
      <c r="H52" s="55" t="str">
        <f>'BURNER STATUS'!H32</f>
        <v>B</v>
      </c>
      <c r="I52" s="55" t="str">
        <f>'BURNER STATUS'!I32</f>
        <v>B</v>
      </c>
      <c r="J52" s="55" t="str">
        <f>'BURNER STATUS'!J32</f>
        <v>O</v>
      </c>
      <c r="K52" s="55" t="str">
        <f>'BURNER STATUS'!K32</f>
        <v>B</v>
      </c>
      <c r="L52" s="55" t="str">
        <f>'BURNER STATUS'!L32</f>
        <v>C</v>
      </c>
      <c r="M52" s="55" t="str">
        <f>'BURNER STATUS'!M32</f>
        <v>O</v>
      </c>
      <c r="N52" s="55" t="str">
        <f>'BURNER STATUS'!N32</f>
        <v>C</v>
      </c>
      <c r="O52" s="55" t="str">
        <f>'BURNER STATUS'!O32</f>
        <v>O</v>
      </c>
      <c r="P52" s="55" t="str">
        <f>'BURNER STATUS'!P32</f>
        <v>C</v>
      </c>
      <c r="Q52" s="55" t="str">
        <f>'BURNER STATUS'!Q32</f>
        <v>N</v>
      </c>
      <c r="R52" s="62">
        <f t="shared" si="0"/>
        <v>10</v>
      </c>
      <c r="S52" s="63">
        <f t="shared" si="1"/>
        <v>5</v>
      </c>
      <c r="T52" s="64">
        <f t="shared" si="2"/>
        <v>15</v>
      </c>
      <c r="U52" s="23"/>
      <c r="V52" s="17"/>
      <c r="W52" s="38"/>
      <c r="X52" s="38"/>
      <c r="Y52" s="18"/>
    </row>
    <row r="53" spans="2:25" ht="23.25" x14ac:dyDescent="0.35">
      <c r="B53" s="91" t="s">
        <v>21</v>
      </c>
      <c r="C53" s="55" t="e">
        <f>'BURNER STATUS'!#REF!</f>
        <v>#REF!</v>
      </c>
      <c r="D53" s="55" t="e">
        <f>'BURNER STATUS'!#REF!</f>
        <v>#REF!</v>
      </c>
      <c r="E53" s="55" t="e">
        <f>'BURNER STATUS'!#REF!</f>
        <v>#REF!</v>
      </c>
      <c r="F53" s="55" t="e">
        <f>'BURNER STATUS'!#REF!</f>
        <v>#REF!</v>
      </c>
      <c r="G53" s="55" t="e">
        <f>'BURNER STATUS'!#REF!</f>
        <v>#REF!</v>
      </c>
      <c r="H53" s="55" t="e">
        <f>'BURNER STATUS'!#REF!</f>
        <v>#REF!</v>
      </c>
      <c r="I53" s="55" t="e">
        <f>'BURNER STATUS'!#REF!</f>
        <v>#REF!</v>
      </c>
      <c r="J53" s="55" t="e">
        <f>'BURNER STATUS'!#REF!</f>
        <v>#REF!</v>
      </c>
      <c r="K53" s="55" t="e">
        <f>'BURNER STATUS'!#REF!</f>
        <v>#REF!</v>
      </c>
      <c r="L53" s="55" t="e">
        <f>'BURNER STATUS'!#REF!</f>
        <v>#REF!</v>
      </c>
      <c r="M53" s="55" t="e">
        <f>'BURNER STATUS'!#REF!</f>
        <v>#REF!</v>
      </c>
      <c r="N53" s="55" t="e">
        <f>'BURNER STATUS'!#REF!</f>
        <v>#REF!</v>
      </c>
      <c r="O53" s="55" t="e">
        <f>'BURNER STATUS'!#REF!</f>
        <v>#REF!</v>
      </c>
      <c r="P53" s="55" t="e">
        <f>'BURNER STATUS'!#REF!</f>
        <v>#REF!</v>
      </c>
      <c r="Q53" s="55" t="e">
        <f>'BURNER STATUS'!#REF!</f>
        <v>#REF!</v>
      </c>
      <c r="R53" s="62"/>
      <c r="S53" s="63"/>
      <c r="T53" s="64"/>
      <c r="U53" s="23"/>
      <c r="V53" s="17"/>
      <c r="W53" s="38"/>
      <c r="X53" s="38"/>
      <c r="Y53" s="18"/>
    </row>
    <row r="54" spans="2:25" ht="23.25" x14ac:dyDescent="0.35">
      <c r="B54" s="47" t="s">
        <v>6</v>
      </c>
      <c r="C54" s="55" t="str">
        <f>'BURNER STATUS'!C33</f>
        <v>C</v>
      </c>
      <c r="D54" s="55" t="str">
        <f>'BURNER STATUS'!D33</f>
        <v>O</v>
      </c>
      <c r="E54" s="55" t="str">
        <f>'BURNER STATUS'!E33</f>
        <v>C</v>
      </c>
      <c r="F54" s="55" t="str">
        <f>'BURNER STATUS'!F33</f>
        <v>O</v>
      </c>
      <c r="G54" s="55" t="str">
        <f>'BURNER STATUS'!G33</f>
        <v>C</v>
      </c>
      <c r="H54" s="55" t="str">
        <f>'BURNER STATUS'!H33</f>
        <v>O</v>
      </c>
      <c r="I54" s="55" t="str">
        <f>'BURNER STATUS'!I33</f>
        <v>B</v>
      </c>
      <c r="J54" s="55" t="str">
        <f>'BURNER STATUS'!J33</f>
        <v>O</v>
      </c>
      <c r="K54" s="55" t="str">
        <f>'BURNER STATUS'!K33</f>
        <v>C</v>
      </c>
      <c r="L54" s="55" t="str">
        <f>'BURNER STATUS'!L33</f>
        <v>O</v>
      </c>
      <c r="M54" s="55" t="str">
        <f>'BURNER STATUS'!M33</f>
        <v>C</v>
      </c>
      <c r="N54" s="55" t="str">
        <f>'BURNER STATUS'!N33</f>
        <v>C</v>
      </c>
      <c r="O54" s="55" t="str">
        <f>'BURNER STATUS'!O33</f>
        <v>O</v>
      </c>
      <c r="P54" s="55" t="str">
        <f>'BURNER STATUS'!P33</f>
        <v>C</v>
      </c>
      <c r="Q54" s="55" t="str">
        <f>'BURNER STATUS'!Q33</f>
        <v>C</v>
      </c>
      <c r="R54" s="65">
        <f t="shared" si="0"/>
        <v>7</v>
      </c>
      <c r="S54" s="66">
        <f t="shared" si="1"/>
        <v>1</v>
      </c>
      <c r="T54" s="66">
        <f t="shared" si="2"/>
        <v>8</v>
      </c>
      <c r="U54" s="23"/>
      <c r="V54" s="17"/>
      <c r="W54" s="38"/>
      <c r="X54" s="38"/>
      <c r="Y54" s="18"/>
    </row>
    <row r="55" spans="2:25" ht="23.25" x14ac:dyDescent="0.35">
      <c r="B55" s="91" t="s">
        <v>21</v>
      </c>
      <c r="C55" s="55" t="e">
        <f>'BURNER STATUS'!#REF!</f>
        <v>#REF!</v>
      </c>
      <c r="D55" s="55" t="e">
        <f>'BURNER STATUS'!#REF!</f>
        <v>#REF!</v>
      </c>
      <c r="E55" s="55" t="e">
        <f>'BURNER STATUS'!#REF!</f>
        <v>#REF!</v>
      </c>
      <c r="F55" s="55" t="e">
        <f>'BURNER STATUS'!#REF!</f>
        <v>#REF!</v>
      </c>
      <c r="G55" s="55" t="e">
        <f>'BURNER STATUS'!#REF!</f>
        <v>#REF!</v>
      </c>
      <c r="H55" s="55" t="e">
        <f>'BURNER STATUS'!#REF!</f>
        <v>#REF!</v>
      </c>
      <c r="I55" s="55" t="e">
        <f>'BURNER STATUS'!#REF!</f>
        <v>#REF!</v>
      </c>
      <c r="J55" s="55" t="e">
        <f>'BURNER STATUS'!#REF!</f>
        <v>#REF!</v>
      </c>
      <c r="K55" s="55" t="e">
        <f>'BURNER STATUS'!#REF!</f>
        <v>#REF!</v>
      </c>
      <c r="L55" s="55" t="e">
        <f>'BURNER STATUS'!#REF!</f>
        <v>#REF!</v>
      </c>
      <c r="M55" s="55" t="e">
        <f>'BURNER STATUS'!#REF!</f>
        <v>#REF!</v>
      </c>
      <c r="N55" s="55" t="e">
        <f>'BURNER STATUS'!#REF!</f>
        <v>#REF!</v>
      </c>
      <c r="O55" s="55" t="e">
        <f>'BURNER STATUS'!#REF!</f>
        <v>#REF!</v>
      </c>
      <c r="P55" s="55" t="e">
        <f>'BURNER STATUS'!#REF!</f>
        <v>#REF!</v>
      </c>
      <c r="Q55" s="55" t="e">
        <f>'BURNER STATUS'!#REF!</f>
        <v>#REF!</v>
      </c>
      <c r="R55" s="65"/>
      <c r="S55" s="66"/>
      <c r="T55" s="66"/>
      <c r="U55" s="23"/>
      <c r="V55" s="17"/>
      <c r="W55" s="38"/>
      <c r="X55" s="38"/>
      <c r="Y55" s="18"/>
    </row>
    <row r="56" spans="2:25" ht="23.25" x14ac:dyDescent="0.35">
      <c r="B56" s="46" t="s">
        <v>7</v>
      </c>
      <c r="C56" s="55" t="str">
        <f>'BURNER STATUS'!C34</f>
        <v>O</v>
      </c>
      <c r="D56" s="55" t="str">
        <f>'BURNER STATUS'!D34</f>
        <v>N</v>
      </c>
      <c r="E56" s="55" t="str">
        <f>'BURNER STATUS'!E34</f>
        <v>B</v>
      </c>
      <c r="F56" s="55" t="str">
        <f>'BURNER STATUS'!F34</f>
        <v>N</v>
      </c>
      <c r="G56" s="55" t="str">
        <f>'BURNER STATUS'!G34</f>
        <v>C</v>
      </c>
      <c r="H56" s="55" t="str">
        <f>'BURNER STATUS'!H34</f>
        <v>C</v>
      </c>
      <c r="I56" s="55" t="str">
        <f>'BURNER STATUS'!I34</f>
        <v>O</v>
      </c>
      <c r="J56" s="55" t="str">
        <f>'BURNER STATUS'!J34</f>
        <v>C</v>
      </c>
      <c r="K56" s="55" t="str">
        <f>'BURNER STATUS'!K34</f>
        <v>O</v>
      </c>
      <c r="L56" s="55" t="str">
        <f>'BURNER STATUS'!L34</f>
        <v>O</v>
      </c>
      <c r="M56" s="55" t="str">
        <f>'BURNER STATUS'!M34</f>
        <v>O</v>
      </c>
      <c r="N56" s="55" t="str">
        <f>'BURNER STATUS'!N34</f>
        <v>O</v>
      </c>
      <c r="O56" s="55" t="str">
        <f>'BURNER STATUS'!O34</f>
        <v>B</v>
      </c>
      <c r="P56" s="55" t="str">
        <f>'BURNER STATUS'!P34</f>
        <v>O</v>
      </c>
      <c r="Q56" s="55" t="str">
        <f>'BURNER STATUS'!Q34</f>
        <v>O</v>
      </c>
      <c r="R56" s="67">
        <f t="shared" si="0"/>
        <v>10</v>
      </c>
      <c r="S56" s="68">
        <f t="shared" si="1"/>
        <v>4</v>
      </c>
      <c r="T56" s="68">
        <f t="shared" si="2"/>
        <v>14</v>
      </c>
      <c r="U56" s="23"/>
      <c r="V56" s="17"/>
      <c r="W56" s="38"/>
      <c r="X56" s="38"/>
      <c r="Y56" s="18"/>
    </row>
    <row r="57" spans="2:25" ht="23.25" x14ac:dyDescent="0.35">
      <c r="B57" s="91" t="s">
        <v>21</v>
      </c>
      <c r="C57" s="55" t="e">
        <f>'BURNER STATUS'!#REF!</f>
        <v>#REF!</v>
      </c>
      <c r="D57" s="55" t="e">
        <f>'BURNER STATUS'!#REF!</f>
        <v>#REF!</v>
      </c>
      <c r="E57" s="55" t="e">
        <f>'BURNER STATUS'!#REF!</f>
        <v>#REF!</v>
      </c>
      <c r="F57" s="55" t="e">
        <f>'BURNER STATUS'!#REF!</f>
        <v>#REF!</v>
      </c>
      <c r="G57" s="55" t="e">
        <f>'BURNER STATUS'!#REF!</f>
        <v>#REF!</v>
      </c>
      <c r="H57" s="55" t="e">
        <f>'BURNER STATUS'!#REF!</f>
        <v>#REF!</v>
      </c>
      <c r="I57" s="55" t="e">
        <f>'BURNER STATUS'!#REF!</f>
        <v>#REF!</v>
      </c>
      <c r="J57" s="55" t="e">
        <f>'BURNER STATUS'!#REF!</f>
        <v>#REF!</v>
      </c>
      <c r="K57" s="55" t="e">
        <f>'BURNER STATUS'!#REF!</f>
        <v>#REF!</v>
      </c>
      <c r="L57" s="55" t="e">
        <f>'BURNER STATUS'!#REF!</f>
        <v>#REF!</v>
      </c>
      <c r="M57" s="55" t="e">
        <f>'BURNER STATUS'!#REF!</f>
        <v>#REF!</v>
      </c>
      <c r="N57" s="55" t="e">
        <f>'BURNER STATUS'!#REF!</f>
        <v>#REF!</v>
      </c>
      <c r="O57" s="55" t="e">
        <f>'BURNER STATUS'!#REF!</f>
        <v>#REF!</v>
      </c>
      <c r="P57" s="55" t="e">
        <f>'BURNER STATUS'!#REF!</f>
        <v>#REF!</v>
      </c>
      <c r="Q57" s="55" t="e">
        <f>'BURNER STATUS'!#REF!</f>
        <v>#REF!</v>
      </c>
      <c r="R57" s="67"/>
      <c r="S57" s="93"/>
      <c r="T57" s="93"/>
      <c r="U57" s="23"/>
      <c r="V57" s="17"/>
      <c r="W57" s="38"/>
      <c r="X57" s="38"/>
      <c r="Y57" s="18"/>
    </row>
    <row r="58" spans="2:25" ht="24" thickBot="1" x14ac:dyDescent="0.4">
      <c r="B58" s="48" t="s">
        <v>8</v>
      </c>
      <c r="C58" s="55" t="str">
        <f>'BURNER STATUS'!C35</f>
        <v>B</v>
      </c>
      <c r="D58" s="55" t="str">
        <f>'BURNER STATUS'!D35</f>
        <v>B</v>
      </c>
      <c r="E58" s="55" t="str">
        <f>'BURNER STATUS'!E35</f>
        <v>C</v>
      </c>
      <c r="F58" s="55" t="str">
        <f>'BURNER STATUS'!F35</f>
        <v>B</v>
      </c>
      <c r="G58" s="55" t="str">
        <f>'BURNER STATUS'!G35</f>
        <v>O</v>
      </c>
      <c r="H58" s="55" t="str">
        <f>'BURNER STATUS'!H35</f>
        <v>B</v>
      </c>
      <c r="I58" s="55" t="str">
        <f>'BURNER STATUS'!I35</f>
        <v>B</v>
      </c>
      <c r="J58" s="55" t="str">
        <f>'BURNER STATUS'!J35</f>
        <v>B</v>
      </c>
      <c r="K58" s="55" t="str">
        <f>'BURNER STATUS'!K35</f>
        <v>B</v>
      </c>
      <c r="L58" s="55" t="str">
        <f>'BURNER STATUS'!L35</f>
        <v>O</v>
      </c>
      <c r="M58" s="55" t="str">
        <f>'BURNER STATUS'!M35</f>
        <v>B</v>
      </c>
      <c r="N58" s="55" t="str">
        <f>'BURNER STATUS'!N35</f>
        <v>O</v>
      </c>
      <c r="O58" s="55" t="str">
        <f>'BURNER STATUS'!O35</f>
        <v>C</v>
      </c>
      <c r="P58" s="55" t="str">
        <f>'BURNER STATUS'!P35</f>
        <v>O</v>
      </c>
      <c r="Q58" s="55" t="str">
        <f>'BURNER STATUS'!Q35</f>
        <v>O</v>
      </c>
      <c r="R58" s="69">
        <f t="shared" si="0"/>
        <v>13</v>
      </c>
      <c r="S58" s="76">
        <f t="shared" si="1"/>
        <v>8</v>
      </c>
      <c r="T58" s="77">
        <f t="shared" si="2"/>
        <v>21</v>
      </c>
      <c r="U58" s="23"/>
      <c r="V58" s="17"/>
      <c r="W58" s="38"/>
      <c r="X58" s="38"/>
      <c r="Y58" s="18"/>
    </row>
    <row r="59" spans="2:25" ht="23.25" x14ac:dyDescent="0.35">
      <c r="B59" s="91" t="s">
        <v>21</v>
      </c>
      <c r="C59" s="55" t="e">
        <f>'BURNER STATUS'!#REF!</f>
        <v>#REF!</v>
      </c>
      <c r="D59" s="55" t="e">
        <f>'BURNER STATUS'!#REF!</f>
        <v>#REF!</v>
      </c>
      <c r="E59" s="55" t="e">
        <f>'BURNER STATUS'!#REF!</f>
        <v>#REF!</v>
      </c>
      <c r="F59" s="55" t="e">
        <f>'BURNER STATUS'!#REF!</f>
        <v>#REF!</v>
      </c>
      <c r="G59" s="55" t="e">
        <f>'BURNER STATUS'!#REF!</f>
        <v>#REF!</v>
      </c>
      <c r="H59" s="55" t="e">
        <f>'BURNER STATUS'!#REF!</f>
        <v>#REF!</v>
      </c>
      <c r="I59" s="55" t="e">
        <f>'BURNER STATUS'!#REF!</f>
        <v>#REF!</v>
      </c>
      <c r="J59" s="55" t="e">
        <f>'BURNER STATUS'!#REF!</f>
        <v>#REF!</v>
      </c>
      <c r="K59" s="55" t="e">
        <f>'BURNER STATUS'!#REF!</f>
        <v>#REF!</v>
      </c>
      <c r="L59" s="55" t="e">
        <f>'BURNER STATUS'!#REF!</f>
        <v>#REF!</v>
      </c>
      <c r="M59" s="55" t="e">
        <f>'BURNER STATUS'!#REF!</f>
        <v>#REF!</v>
      </c>
      <c r="N59" s="55" t="e">
        <f>'BURNER STATUS'!#REF!</f>
        <v>#REF!</v>
      </c>
      <c r="O59" s="55" t="e">
        <f>'BURNER STATUS'!#REF!</f>
        <v>#REF!</v>
      </c>
      <c r="P59" s="55" t="e">
        <f>'BURNER STATUS'!#REF!</f>
        <v>#REF!</v>
      </c>
      <c r="Q59" s="55" t="e">
        <f>'BURNER STATUS'!#REF!</f>
        <v>#REF!</v>
      </c>
      <c r="R59" s="55"/>
      <c r="S59" s="55"/>
      <c r="T59" s="55"/>
      <c r="U59" s="51"/>
      <c r="V59" s="52"/>
      <c r="W59" s="53"/>
      <c r="X59" s="53"/>
      <c r="Y59" s="54"/>
    </row>
    <row r="60" spans="2:25" ht="24" thickBot="1" x14ac:dyDescent="0.4">
      <c r="B60" s="50"/>
      <c r="C60" s="78"/>
      <c r="D60" s="78"/>
      <c r="E60" s="78"/>
      <c r="F60" s="78"/>
      <c r="G60" s="78"/>
      <c r="H60" s="79"/>
      <c r="I60" s="79"/>
      <c r="J60" s="78"/>
      <c r="K60" s="79"/>
      <c r="L60" s="79"/>
      <c r="M60" s="79"/>
      <c r="N60" s="79"/>
      <c r="O60" s="79"/>
      <c r="P60" s="79"/>
      <c r="Q60" s="79"/>
      <c r="R60" s="80">
        <f>SUM(R48:R58)</f>
        <v>52</v>
      </c>
      <c r="S60" s="81">
        <f>SUM(S48:S58)</f>
        <v>35</v>
      </c>
      <c r="T60" s="82"/>
      <c r="U60" s="51"/>
      <c r="V60" s="52"/>
      <c r="W60" s="53"/>
      <c r="X60" s="53"/>
      <c r="Y60" s="54"/>
    </row>
    <row r="61" spans="2:25" ht="24" thickBot="1" x14ac:dyDescent="0.4"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118"/>
      <c r="Q61" s="119"/>
      <c r="R61" s="84"/>
      <c r="S61" s="85"/>
      <c r="T61" s="86"/>
      <c r="U61" s="30"/>
      <c r="V61" s="19"/>
      <c r="W61" s="40"/>
      <c r="X61" s="40"/>
      <c r="Y61" s="20"/>
    </row>
  </sheetData>
  <mergeCells count="15">
    <mergeCell ref="C46:Q46"/>
    <mergeCell ref="C47:Q47"/>
    <mergeCell ref="P61:Q61"/>
    <mergeCell ref="C18:Q18"/>
    <mergeCell ref="AA18:AE18"/>
    <mergeCell ref="C19:Q19"/>
    <mergeCell ref="AB19:AE19"/>
    <mergeCell ref="C32:Q32"/>
    <mergeCell ref="C33:Q33"/>
    <mergeCell ref="AB16:AE16"/>
    <mergeCell ref="C4:Q4"/>
    <mergeCell ref="AB8:AE8"/>
    <mergeCell ref="AA10:AE10"/>
    <mergeCell ref="AB12:AE12"/>
    <mergeCell ref="AA14:AE14"/>
  </mergeCells>
  <conditionalFormatting sqref="C21:D21">
    <cfRule type="containsText" dxfId="46" priority="463" operator="containsText" text="C">
      <formula>NOT(ISERROR(SEARCH("C",C21)))</formula>
    </cfRule>
    <cfRule type="expression" priority="464">
      <formula>$AA$19</formula>
    </cfRule>
  </conditionalFormatting>
  <conditionalFormatting sqref="C41:E41">
    <cfRule type="containsText" dxfId="45" priority="221" operator="containsText" text="C">
      <formula>NOT(ISERROR(SEARCH("C",C41)))</formula>
    </cfRule>
    <cfRule type="expression" priority="222">
      <formula>$AA$19</formula>
    </cfRule>
  </conditionalFormatting>
  <conditionalFormatting sqref="C25:H25">
    <cfRule type="containsText" dxfId="44" priority="399" operator="containsText" text="C">
      <formula>NOT(ISERROR(SEARCH("C",C25)))</formula>
    </cfRule>
    <cfRule type="expression" priority="400">
      <formula>$AA$19</formula>
    </cfRule>
  </conditionalFormatting>
  <conditionalFormatting sqref="C27:I27">
    <cfRule type="containsText" dxfId="43" priority="375" operator="containsText" text="C">
      <formula>NOT(ISERROR(SEARCH("C",C27)))</formula>
    </cfRule>
    <cfRule type="expression" priority="376">
      <formula>$AA$19</formula>
    </cfRule>
  </conditionalFormatting>
  <conditionalFormatting sqref="C37:I37">
    <cfRule type="containsText" dxfId="42" priority="259" operator="containsText" text="C">
      <formula>NOT(ISERROR(SEARCH("C",C37)))</formula>
    </cfRule>
    <cfRule type="expression" priority="260">
      <formula>$AA$19</formula>
    </cfRule>
  </conditionalFormatting>
  <conditionalFormatting sqref="C6:Q17 C20:Q31 C34:Q45 C48:Q60">
    <cfRule type="containsText" dxfId="41" priority="487" operator="containsText" text="C">
      <formula>NOT(ISERROR(SEARCH("C",C6)))</formula>
    </cfRule>
    <cfRule type="containsText" dxfId="40" priority="486" operator="containsText" text="O">
      <formula>NOT(ISERROR(SEARCH("O",C6)))</formula>
    </cfRule>
    <cfRule type="containsText" dxfId="39" priority="485" operator="containsText" text="N">
      <formula>NOT(ISERROR(SEARCH("N",C6)))</formula>
    </cfRule>
  </conditionalFormatting>
  <conditionalFormatting sqref="C6:Q17">
    <cfRule type="containsText" dxfId="38" priority="488" operator="containsText" text="C">
      <formula>NOT(ISERROR(SEARCH("C",C6)))</formula>
    </cfRule>
    <cfRule type="expression" priority="489">
      <formula>$AA$19</formula>
    </cfRule>
  </conditionalFormatting>
  <conditionalFormatting sqref="C20:Q31 C34:Q45 C6:Q17 C48:Q60">
    <cfRule type="containsText" dxfId="37" priority="469" operator="containsText" text="B">
      <formula>NOT(ISERROR(SEARCH("B",C6)))</formula>
    </cfRule>
  </conditionalFormatting>
  <conditionalFormatting sqref="C29:Q29">
    <cfRule type="containsText" dxfId="36" priority="333" operator="containsText" text="C">
      <formula>NOT(ISERROR(SEARCH("C",C29)))</formula>
    </cfRule>
    <cfRule type="expression" priority="334">
      <formula>$AA$19</formula>
    </cfRule>
  </conditionalFormatting>
  <conditionalFormatting sqref="C31:Q31">
    <cfRule type="containsText" dxfId="35" priority="303" operator="containsText" text="C">
      <formula>NOT(ISERROR(SEARCH("C",C31)))</formula>
    </cfRule>
    <cfRule type="expression" priority="304">
      <formula>$AA$19</formula>
    </cfRule>
  </conditionalFormatting>
  <conditionalFormatting sqref="C35:Q35">
    <cfRule type="containsText" dxfId="34" priority="273" operator="containsText" text="C">
      <formula>NOT(ISERROR(SEARCH("C",C35)))</formula>
    </cfRule>
    <cfRule type="expression" priority="274">
      <formula>$AA$19</formula>
    </cfRule>
  </conditionalFormatting>
  <conditionalFormatting sqref="C43:Q43">
    <cfRule type="containsText" dxfId="33" priority="175" operator="containsText" text="C">
      <formula>NOT(ISERROR(SEARCH("C",C43)))</formula>
    </cfRule>
    <cfRule type="expression" priority="176">
      <formula>$AA$19</formula>
    </cfRule>
  </conditionalFormatting>
  <conditionalFormatting sqref="C45:Q45">
    <cfRule type="containsText" dxfId="32" priority="145" operator="containsText" text="C">
      <formula>NOT(ISERROR(SEARCH("C",C45)))</formula>
    </cfRule>
    <cfRule type="expression" priority="146">
      <formula>$AA$19</formula>
    </cfRule>
  </conditionalFormatting>
  <conditionalFormatting sqref="D39:H39">
    <cfRule type="containsText" dxfId="31" priority="239" operator="containsText" text="C">
      <formula>NOT(ISERROR(SEARCH("C",D39)))</formula>
    </cfRule>
    <cfRule type="expression" priority="240">
      <formula>$AA$19</formula>
    </cfRule>
  </conditionalFormatting>
  <conditionalFormatting sqref="D23:Q23">
    <cfRule type="expression" priority="412">
      <formula>$AA$19</formula>
    </cfRule>
    <cfRule type="containsText" dxfId="30" priority="411" operator="containsText" text="C">
      <formula>NOT(ISERROR(SEARCH("C",D23)))</formula>
    </cfRule>
  </conditionalFormatting>
  <conditionalFormatting sqref="F21:Q21">
    <cfRule type="expression" priority="440">
      <formula>$AA$19</formula>
    </cfRule>
    <cfRule type="containsText" dxfId="29" priority="439" operator="containsText" text="C">
      <formula>NOT(ISERROR(SEARCH("C",F21)))</formula>
    </cfRule>
  </conditionalFormatting>
  <conditionalFormatting sqref="G41">
    <cfRule type="expression" priority="220">
      <formula>$AA$19</formula>
    </cfRule>
    <cfRule type="containsText" dxfId="28" priority="219" operator="containsText" text="C">
      <formula>NOT(ISERROR(SEARCH("C",G41)))</formula>
    </cfRule>
  </conditionalFormatting>
  <conditionalFormatting sqref="I41:J41">
    <cfRule type="containsText" dxfId="27" priority="215" operator="containsText" text="C">
      <formula>NOT(ISERROR(SEARCH("C",I41)))</formula>
    </cfRule>
    <cfRule type="expression" priority="216">
      <formula>$AA$19</formula>
    </cfRule>
  </conditionalFormatting>
  <conditionalFormatting sqref="J25">
    <cfRule type="expression" priority="398">
      <formula>$AA$19</formula>
    </cfRule>
    <cfRule type="containsText" dxfId="26" priority="397" operator="containsText" text="C">
      <formula>NOT(ISERROR(SEARCH("C",J25)))</formula>
    </cfRule>
  </conditionalFormatting>
  <conditionalFormatting sqref="K37">
    <cfRule type="expression" priority="258">
      <formula>$AA$19</formula>
    </cfRule>
    <cfRule type="containsText" dxfId="25" priority="257" operator="containsText" text="C">
      <formula>NOT(ISERROR(SEARCH("C",K37)))</formula>
    </cfRule>
  </conditionalFormatting>
  <conditionalFormatting sqref="K27:N27">
    <cfRule type="expression" priority="368">
      <formula>$AA$19</formula>
    </cfRule>
    <cfRule type="containsText" dxfId="24" priority="367" operator="containsText" text="C">
      <formula>NOT(ISERROR(SEARCH("C",K27)))</formula>
    </cfRule>
  </conditionalFormatting>
  <conditionalFormatting sqref="L39:Q39">
    <cfRule type="expression" priority="228">
      <formula>$AA$19</formula>
    </cfRule>
    <cfRule type="containsText" dxfId="23" priority="227" operator="containsText" text="C">
      <formula>NOT(ISERROR(SEARCH("C",L39)))</formula>
    </cfRule>
  </conditionalFormatting>
  <conditionalFormatting sqref="M41:Q41">
    <cfRule type="containsText" dxfId="22" priority="205" operator="containsText" text="C">
      <formula>NOT(ISERROR(SEARCH("C",M41)))</formula>
    </cfRule>
    <cfRule type="expression" priority="206">
      <formula>$AA$19</formula>
    </cfRule>
  </conditionalFormatting>
  <conditionalFormatting sqref="N25">
    <cfRule type="containsText" dxfId="21" priority="395" operator="containsText" text="C">
      <formula>NOT(ISERROR(SEARCH("C",N25)))</formula>
    </cfRule>
    <cfRule type="expression" priority="396">
      <formula>$AA$19</formula>
    </cfRule>
  </conditionalFormatting>
  <conditionalFormatting sqref="N37:Q37">
    <cfRule type="expression" priority="250">
      <formula>$AA$19</formula>
    </cfRule>
    <cfRule type="containsText" dxfId="20" priority="249" operator="containsText" text="C">
      <formula>NOT(ISERROR(SEARCH("C",N37)))</formula>
    </cfRule>
  </conditionalFormatting>
  <conditionalFormatting sqref="O25:O27">
    <cfRule type="containsText" dxfId="19" priority="393" operator="containsText" text="C">
      <formula>NOT(ISERROR(SEARCH("C",O25)))</formula>
    </cfRule>
    <cfRule type="expression" priority="394">
      <formula>$AA$19</formula>
    </cfRule>
  </conditionalFormatting>
  <conditionalFormatting sqref="P25:Q25">
    <cfRule type="containsText" dxfId="18" priority="389" operator="containsText" text="C">
      <formula>NOT(ISERROR(SEARCH("C",P25)))</formula>
    </cfRule>
    <cfRule type="expression" priority="390">
      <formula>$AA$19</formula>
    </cfRule>
  </conditionalFormatting>
  <conditionalFormatting sqref="P27:Q27">
    <cfRule type="expression" priority="364">
      <formula>$AA$19</formula>
    </cfRule>
    <cfRule type="containsText" dxfId="17" priority="363" operator="containsText" text="C">
      <formula>NOT(ISERROR(SEARCH("C",P27)))</formula>
    </cfRule>
  </conditionalFormatting>
  <conditionalFormatting sqref="R59:T59">
    <cfRule type="expression" priority="2">
      <formula>$AA$19</formula>
    </cfRule>
    <cfRule type="containsText" dxfId="16" priority="1" operator="containsText" text="C">
      <formula>NOT(ISERROR(SEARCH("C",R59)))</formula>
    </cfRule>
    <cfRule type="containsText" dxfId="15" priority="6" operator="containsText" text="C">
      <formula>NOT(ISERROR(SEARCH("C",R59)))</formula>
    </cfRule>
    <cfRule type="containsText" dxfId="14" priority="5" operator="containsText" text="O">
      <formula>NOT(ISERROR(SEARCH("O",R59)))</formula>
    </cfRule>
    <cfRule type="containsText" dxfId="13" priority="4" operator="containsText" text="N">
      <formula>NOT(ISERROR(SEARCH("N",R59)))</formula>
    </cfRule>
    <cfRule type="containsText" dxfId="12" priority="3" operator="containsText" text="B">
      <formula>NOT(ISERROR(SEARCH("B",R59)))</formula>
    </cfRule>
  </conditionalFormatting>
  <conditionalFormatting sqref="Y6:Y17">
    <cfRule type="cellIs" dxfId="11" priority="471" operator="greaterThan">
      <formula>0</formula>
    </cfRule>
  </conditionalFormatting>
  <conditionalFormatting sqref="Y34:Y45">
    <cfRule type="cellIs" dxfId="10" priority="470" operator="greaterThan">
      <formula>0</formula>
    </cfRule>
  </conditionalFormatting>
  <conditionalFormatting sqref="AA12:AA13">
    <cfRule type="containsText" dxfId="9" priority="475" operator="containsText" text="N">
      <formula>NOT(ISERROR(SEARCH("N",AA12)))</formula>
    </cfRule>
    <cfRule type="containsText" dxfId="8" priority="476" operator="containsText" text="O">
      <formula>NOT(ISERROR(SEARCH("O",AA12)))</formula>
    </cfRule>
    <cfRule type="containsText" dxfId="7" priority="477" operator="containsText" text="C">
      <formula>NOT(ISERROR(SEARCH("C",AA12)))</formula>
    </cfRule>
    <cfRule type="expression" priority="479">
      <formula>$AA$19</formula>
    </cfRule>
  </conditionalFormatting>
  <conditionalFormatting sqref="AA16:AA17">
    <cfRule type="containsText" dxfId="6" priority="480" operator="containsText" text="N">
      <formula>NOT(ISERROR(SEARCH("N",AA16)))</formula>
    </cfRule>
    <cfRule type="containsText" dxfId="5" priority="481" operator="containsText" text="O">
      <formula>NOT(ISERROR(SEARCH("O",AA16)))</formula>
    </cfRule>
    <cfRule type="containsText" dxfId="4" priority="482" operator="containsText" text="C">
      <formula>NOT(ISERROR(SEARCH("C",AA16)))</formula>
    </cfRule>
    <cfRule type="expression" priority="484">
      <formula>$AA$19</formula>
    </cfRule>
  </conditionalFormatting>
  <conditionalFormatting sqref="AA19">
    <cfRule type="containsText" dxfId="3" priority="472" operator="containsText" text="N">
      <formula>NOT(ISERROR(SEARCH("N",AA19)))</formula>
    </cfRule>
    <cfRule type="containsText" dxfId="2" priority="473" operator="containsText" text="O">
      <formula>NOT(ISERROR(SEARCH("O",AA19)))</formula>
    </cfRule>
    <cfRule type="containsText" dxfId="1" priority="474" operator="containsText" text="B">
      <formula>NOT(ISERROR(SEARCH("B",AA19)))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BURNER STATUS</vt:lpstr>
      <vt:lpstr>Sheet1</vt:lpstr>
      <vt:lpstr>'BURNER STATUS'!Print_Area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2026-01-10T08:45:37Z</dcterms:modified>
</cp:coreProperties>
</file>